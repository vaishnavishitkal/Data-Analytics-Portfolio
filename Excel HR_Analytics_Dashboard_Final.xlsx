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rime\OneDrive\Desktop\"/>
    </mc:Choice>
  </mc:AlternateContent>
  <bookViews>
    <workbookView xWindow="0" yWindow="0" windowWidth="20490" windowHeight="8220" activeTab="2"/>
  </bookViews>
  <sheets>
    <sheet name="pivot table" sheetId="2" r:id="rId1"/>
    <sheet name="HR_Analytics" sheetId="1" r:id="rId2"/>
    <sheet name="HR_Dashboard" sheetId="3" r:id="rId3"/>
  </sheets>
  <definedNames>
    <definedName name="Slicer_Attrition">#N/A</definedName>
    <definedName name="Slicer_City">#N/A</definedName>
    <definedName name="Slicer_Department">#N/A</definedName>
    <definedName name="Slicer_Gende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4" i="3" l="1"/>
  <c r="B4" i="3"/>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 i="1"/>
</calcChain>
</file>

<file path=xl/sharedStrings.xml><?xml version="1.0" encoding="utf-8"?>
<sst xmlns="http://schemas.openxmlformats.org/spreadsheetml/2006/main" count="1255" uniqueCount="172">
  <si>
    <t>Emp_ID</t>
  </si>
  <si>
    <t>Employee_Name</t>
  </si>
  <si>
    <t>Gender</t>
  </si>
  <si>
    <t>Age</t>
  </si>
  <si>
    <t>Department</t>
  </si>
  <si>
    <t>Job_Role</t>
  </si>
  <si>
    <t>Salary</t>
  </si>
  <si>
    <t>Experience</t>
  </si>
  <si>
    <t>City</t>
  </si>
  <si>
    <t>Joining_Date</t>
  </si>
  <si>
    <t>Performance_Rating</t>
  </si>
  <si>
    <t>Attendance_%</t>
  </si>
  <si>
    <t>Overtime_Hours</t>
  </si>
  <si>
    <t>Attrition</t>
  </si>
  <si>
    <t>Neha Jadhav</t>
  </si>
  <si>
    <t>Female</t>
  </si>
  <si>
    <t>IT</t>
  </si>
  <si>
    <t>Team Lead</t>
  </si>
  <si>
    <t>Nagpur</t>
  </si>
  <si>
    <t>No</t>
  </si>
  <si>
    <t>Akash Kumar</t>
  </si>
  <si>
    <t>Marketing</t>
  </si>
  <si>
    <t>SEO Analyst</t>
  </si>
  <si>
    <t>Pune</t>
  </si>
  <si>
    <t>Priya Deshmukh</t>
  </si>
  <si>
    <t>Male</t>
  </si>
  <si>
    <t>Rahul Pawar</t>
  </si>
  <si>
    <t>Finance</t>
  </si>
  <si>
    <t>Finance Analyst</t>
  </si>
  <si>
    <t>Nashik</t>
  </si>
  <si>
    <t>Rohan Singh</t>
  </si>
  <si>
    <t>Sales</t>
  </si>
  <si>
    <t>Sales Manager</t>
  </si>
  <si>
    <t>Manoj Sharma</t>
  </si>
  <si>
    <t>Developer</t>
  </si>
  <si>
    <t>Rahul Patil</t>
  </si>
  <si>
    <t>HR</t>
  </si>
  <si>
    <t>Recruiter</t>
  </si>
  <si>
    <t>Sonal Sharma</t>
  </si>
  <si>
    <t>Neha Deshmukh</t>
  </si>
  <si>
    <t>Yes</t>
  </si>
  <si>
    <t>Pooja Patil</t>
  </si>
  <si>
    <t>Sonal Singh</t>
  </si>
  <si>
    <t>Sales Executive</t>
  </si>
  <si>
    <t>Nikita Patil</t>
  </si>
  <si>
    <t>Pooja Joshi</t>
  </si>
  <si>
    <t>Marketing Executive</t>
  </si>
  <si>
    <t>Karan Sharma</t>
  </si>
  <si>
    <t>Rahul Joshi</t>
  </si>
  <si>
    <t>Mumbai</t>
  </si>
  <si>
    <t>Sonal More</t>
  </si>
  <si>
    <t>Accountant</t>
  </si>
  <si>
    <t>Vikas Gupta</t>
  </si>
  <si>
    <t>Priya Kumar</t>
  </si>
  <si>
    <t>Anjali Kumar</t>
  </si>
  <si>
    <t>Aurangabad</t>
  </si>
  <si>
    <t>Manoj Joshi</t>
  </si>
  <si>
    <t>HR Executive</t>
  </si>
  <si>
    <t>Pooja Singh</t>
  </si>
  <si>
    <t>Analyst</t>
  </si>
  <si>
    <t>Anjali Deshmukh</t>
  </si>
  <si>
    <t>Neha Kumar</t>
  </si>
  <si>
    <t>Ritu Gupta</t>
  </si>
  <si>
    <t>Nikita Pawar</t>
  </si>
  <si>
    <t>Pooja Kumar</t>
  </si>
  <si>
    <t>Priya Joshi</t>
  </si>
  <si>
    <t>Vikas Kumar</t>
  </si>
  <si>
    <t>Karan Deshmukh</t>
  </si>
  <si>
    <t>Neha Pawar</t>
  </si>
  <si>
    <t>Karan Singh</t>
  </si>
  <si>
    <t>Manoj Singh</t>
  </si>
  <si>
    <t>Amit Jadhav</t>
  </si>
  <si>
    <t>HR Manager</t>
  </si>
  <si>
    <t>Anjali Gupta</t>
  </si>
  <si>
    <t>Akash Gupta</t>
  </si>
  <si>
    <t>Akash Singh</t>
  </si>
  <si>
    <t>Sonal Kumar</t>
  </si>
  <si>
    <t>Neha Patil</t>
  </si>
  <si>
    <t>Priya More</t>
  </si>
  <si>
    <t>Vikas Sharma</t>
  </si>
  <si>
    <t>Neha Gupta</t>
  </si>
  <si>
    <t>Karan Pawar</t>
  </si>
  <si>
    <t>Nikita Kumar</t>
  </si>
  <si>
    <t>Neha More</t>
  </si>
  <si>
    <t>Ritu More</t>
  </si>
  <si>
    <t>Pooja Sharma</t>
  </si>
  <si>
    <t>Rohan More</t>
  </si>
  <si>
    <t>Karan More</t>
  </si>
  <si>
    <t>Pooja Jadhav</t>
  </si>
  <si>
    <t>Amit Sharma</t>
  </si>
  <si>
    <t>Sonal Deshmukh</t>
  </si>
  <si>
    <t>Rohan Jadhav</t>
  </si>
  <si>
    <t>Anjali Joshi</t>
  </si>
  <si>
    <t>Ritu Singh</t>
  </si>
  <si>
    <t>Sneha Kumar</t>
  </si>
  <si>
    <t>Akash Sharma</t>
  </si>
  <si>
    <t>Anjali Sharma</t>
  </si>
  <si>
    <t>Pooja Gupta</t>
  </si>
  <si>
    <t>Sneha Jadhav</t>
  </si>
  <si>
    <t>Anjali Pawar</t>
  </si>
  <si>
    <t>Priya Patil</t>
  </si>
  <si>
    <t>Ritu Kumar</t>
  </si>
  <si>
    <t>Amit Deshmukh</t>
  </si>
  <si>
    <t>Rohan Patil</t>
  </si>
  <si>
    <t>Amit Gupta</t>
  </si>
  <si>
    <t>Rohan Gupta</t>
  </si>
  <si>
    <t>Rahul More</t>
  </si>
  <si>
    <t>Amit Patil</t>
  </si>
  <si>
    <t>Rahul Singh</t>
  </si>
  <si>
    <t>Nikita Deshmukh</t>
  </si>
  <si>
    <t>Sneha Patil</t>
  </si>
  <si>
    <t>Anjali Singh</t>
  </si>
  <si>
    <t>Rahul Gupta</t>
  </si>
  <si>
    <t>Rohan Kumar</t>
  </si>
  <si>
    <t>Manoj More</t>
  </si>
  <si>
    <t>Akash More</t>
  </si>
  <si>
    <t>Pooja Deshmukh</t>
  </si>
  <si>
    <t>Karan Patil</t>
  </si>
  <si>
    <t>Neha Sharma</t>
  </si>
  <si>
    <t>Priya Pawar</t>
  </si>
  <si>
    <t>Vikas Patil</t>
  </si>
  <si>
    <t>Pooja More</t>
  </si>
  <si>
    <t>Priya Singh</t>
  </si>
  <si>
    <t>Sonal Gupta</t>
  </si>
  <si>
    <t>Vikas Deshmukh</t>
  </si>
  <si>
    <t>Amit Pawar</t>
  </si>
  <si>
    <t>Amit Singh</t>
  </si>
  <si>
    <t>Sonal Joshi</t>
  </si>
  <si>
    <t>Karan Kumar</t>
  </si>
  <si>
    <t>Vikas Singh</t>
  </si>
  <si>
    <t>Neha Joshi</t>
  </si>
  <si>
    <t>Sonal Jadhav</t>
  </si>
  <si>
    <t>Rahul Deshmukh</t>
  </si>
  <si>
    <t>Rohan Pawar</t>
  </si>
  <si>
    <t>Vikas Pawar</t>
  </si>
  <si>
    <t>Ritu Joshi</t>
  </si>
  <si>
    <t>Anjali Patil</t>
  </si>
  <si>
    <t>Akash Jadhav</t>
  </si>
  <si>
    <t>Anjali Jadhav</t>
  </si>
  <si>
    <t>Sneha Joshi</t>
  </si>
  <si>
    <t>Akash Joshi</t>
  </si>
  <si>
    <t>Rohan Sharma</t>
  </si>
  <si>
    <t>Nikita Joshi</t>
  </si>
  <si>
    <t>Sneha Sharma</t>
  </si>
  <si>
    <t>Nikita Singh</t>
  </si>
  <si>
    <t>Rohan Joshi</t>
  </si>
  <si>
    <t>Priya Jadhav</t>
  </si>
  <si>
    <t>Sneha Singh</t>
  </si>
  <si>
    <t>Amit More</t>
  </si>
  <si>
    <t>Karan Joshi</t>
  </si>
  <si>
    <t>Sneha Gupta</t>
  </si>
  <si>
    <t>Pooja Pawar</t>
  </si>
  <si>
    <t>Rohan Deshmukh</t>
  </si>
  <si>
    <t>Ritu Pawar</t>
  </si>
  <si>
    <t>Nikita Gupta</t>
  </si>
  <si>
    <t>Sonal Patil</t>
  </si>
  <si>
    <t>Sneha More</t>
  </si>
  <si>
    <t>Amit Joshi</t>
  </si>
  <si>
    <t>Annual salary</t>
  </si>
  <si>
    <t>Experience level</t>
  </si>
  <si>
    <t>Performance status</t>
  </si>
  <si>
    <t>Row Labels</t>
  </si>
  <si>
    <t>Grand Total</t>
  </si>
  <si>
    <t>Sum of Emp_ID</t>
  </si>
  <si>
    <t>Sum of Salary</t>
  </si>
  <si>
    <t>Column Labels</t>
  </si>
  <si>
    <t>Average Salary</t>
  </si>
  <si>
    <t>Attrition Count</t>
  </si>
  <si>
    <t>Attrition Rate %</t>
  </si>
  <si>
    <t xml:space="preserve">       Total Emplyoees       </t>
  </si>
  <si>
    <t>HR ANALYTICS DASHBOARD</t>
  </si>
  <si>
    <t>Count of Emp_ID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</si>
</sst>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4009]\ #,##0.00"/>
  </numFmts>
  <fonts count="3" x14ac:knownFonts="1">
    <font>
      <sz val="11"/>
      <color theme="1"/>
      <name val="Calibri"/>
      <family val="2"/>
      <scheme val="minor"/>
    </font>
    <font>
      <b/>
      <sz val="11"/>
      <color theme="1"/>
      <name val="Calibri"/>
      <family val="2"/>
      <scheme val="minor"/>
    </font>
    <font>
      <b/>
      <sz val="28"/>
      <color theme="1"/>
      <name val="Calibri"/>
      <family val="2"/>
      <scheme val="minor"/>
    </font>
  </fonts>
  <fills count="6">
    <fill>
      <patternFill patternType="none"/>
    </fill>
    <fill>
      <patternFill patternType="gray125"/>
    </fill>
    <fill>
      <patternFill patternType="solid">
        <fgColor theme="6" tint="-0.249977111117893"/>
        <bgColor indexed="64"/>
      </patternFill>
    </fill>
    <fill>
      <patternFill patternType="solid">
        <fgColor theme="3" tint="0.59999389629810485"/>
        <bgColor indexed="64"/>
      </patternFill>
    </fill>
    <fill>
      <patternFill patternType="solid">
        <fgColor theme="9" tint="-0.249977111117893"/>
        <bgColor indexed="64"/>
      </patternFill>
    </fill>
    <fill>
      <patternFill patternType="solid">
        <fgColor rgb="FFFFC000"/>
        <bgColor indexed="64"/>
      </patternFill>
    </fill>
  </fills>
  <borders count="10">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2">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0" fontId="1" fillId="0" borderId="0" xfId="0" applyFont="1" applyBorder="1" applyAlignment="1">
      <alignment horizontal="center"/>
    </xf>
    <xf numFmtId="0" fontId="1" fillId="0" borderId="0" xfId="0" applyFont="1" applyBorder="1" applyAlignment="1"/>
    <xf numFmtId="0" fontId="0" fillId="0" borderId="1" xfId="0" applyBorder="1"/>
    <xf numFmtId="0" fontId="0" fillId="0" borderId="2" xfId="0" applyBorder="1"/>
    <xf numFmtId="0" fontId="0" fillId="0" borderId="3" xfId="0" applyBorder="1"/>
    <xf numFmtId="0" fontId="1" fillId="0" borderId="0" xfId="0" applyFont="1" applyBorder="1"/>
    <xf numFmtId="0" fontId="2" fillId="0" borderId="0" xfId="0" applyFont="1" applyAlignment="1">
      <alignment horizontal="left" indent="10"/>
    </xf>
    <xf numFmtId="0" fontId="1" fillId="0" borderId="0" xfId="0" applyFont="1" applyAlignment="1">
      <alignment horizontal="left" indent="10"/>
    </xf>
    <xf numFmtId="0" fontId="1" fillId="2" borderId="5" xfId="0" applyFont="1" applyFill="1" applyBorder="1" applyAlignment="1">
      <alignment horizontal="center"/>
    </xf>
    <xf numFmtId="0" fontId="1" fillId="4" borderId="5" xfId="0" applyFont="1" applyFill="1" applyBorder="1" applyAlignment="1">
      <alignment horizontal="center"/>
    </xf>
    <xf numFmtId="0" fontId="1" fillId="4" borderId="8" xfId="0" applyFont="1" applyFill="1" applyBorder="1" applyAlignment="1"/>
    <xf numFmtId="0" fontId="1" fillId="5" borderId="6" xfId="0" applyFont="1" applyFill="1" applyBorder="1" applyAlignment="1">
      <alignment horizontal="center"/>
    </xf>
    <xf numFmtId="10" fontId="1" fillId="5" borderId="9" xfId="0" applyNumberFormat="1" applyFont="1" applyFill="1" applyBorder="1" applyAlignment="1"/>
    <xf numFmtId="0" fontId="1" fillId="3" borderId="4" xfId="0" applyFont="1" applyFill="1" applyBorder="1" applyAlignment="1">
      <alignment horizontal="center"/>
    </xf>
    <xf numFmtId="0" fontId="1" fillId="3" borderId="7" xfId="0" applyFont="1" applyFill="1" applyBorder="1" applyAlignment="1"/>
    <xf numFmtId="165" fontId="1" fillId="2" borderId="8" xfId="0" applyNumberFormat="1"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HR_Analytics_Dashboard_Final.xlsx]pivot table!pivot table 1</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Finance</c:v>
                </c:pt>
                <c:pt idx="1">
                  <c:v>HR</c:v>
                </c:pt>
                <c:pt idx="2">
                  <c:v>IT</c:v>
                </c:pt>
                <c:pt idx="3">
                  <c:v>Marketing</c:v>
                </c:pt>
                <c:pt idx="4">
                  <c:v>Sales</c:v>
                </c:pt>
              </c:strCache>
            </c:strRef>
          </c:cat>
          <c:val>
            <c:numRef>
              <c:f>'pivot table'!$B$4:$B$9</c:f>
              <c:numCache>
                <c:formatCode>General</c:formatCode>
                <c:ptCount val="5"/>
                <c:pt idx="0">
                  <c:v>43</c:v>
                </c:pt>
                <c:pt idx="1">
                  <c:v>44</c:v>
                </c:pt>
                <c:pt idx="2">
                  <c:v>39</c:v>
                </c:pt>
                <c:pt idx="3">
                  <c:v>38</c:v>
                </c:pt>
                <c:pt idx="4">
                  <c:v>36</c:v>
                </c:pt>
              </c:numCache>
            </c:numRef>
          </c:val>
          <c:extLst>
            <c:ext xmlns:c16="http://schemas.microsoft.com/office/drawing/2014/chart" uri="{C3380CC4-5D6E-409C-BE32-E72D297353CC}">
              <c16:uniqueId val="{00000000-1821-4805-8AF2-0F86897142D0}"/>
            </c:ext>
          </c:extLst>
        </c:ser>
        <c:dLbls>
          <c:showLegendKey val="0"/>
          <c:showVal val="0"/>
          <c:showCatName val="0"/>
          <c:showSerName val="0"/>
          <c:showPercent val="0"/>
          <c:showBubbleSize val="0"/>
        </c:dLbls>
        <c:gapWidth val="219"/>
        <c:overlap val="-27"/>
        <c:axId val="620334111"/>
        <c:axId val="497017407"/>
      </c:barChart>
      <c:catAx>
        <c:axId val="62033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17407"/>
        <c:crosses val="autoZero"/>
        <c:auto val="1"/>
        <c:lblAlgn val="ctr"/>
        <c:lblOffset val="100"/>
        <c:noMultiLvlLbl val="0"/>
      </c:catAx>
      <c:valAx>
        <c:axId val="49701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3341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HR_Analytics_Dashboard_Final.xlsx]pivot table!PivotTable7</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Finance</c:v>
                </c:pt>
                <c:pt idx="1">
                  <c:v>HR</c:v>
                </c:pt>
                <c:pt idx="2">
                  <c:v>IT</c:v>
                </c:pt>
                <c:pt idx="3">
                  <c:v>Marketing</c:v>
                </c:pt>
                <c:pt idx="4">
                  <c:v>Sales</c:v>
                </c:pt>
              </c:strCache>
            </c:strRef>
          </c:cat>
          <c:val>
            <c:numRef>
              <c:f>'pivot table'!$E$4:$E$9</c:f>
              <c:numCache>
                <c:formatCode>General</c:formatCode>
                <c:ptCount val="5"/>
                <c:pt idx="0">
                  <c:v>2564565</c:v>
                </c:pt>
                <c:pt idx="1">
                  <c:v>2655636</c:v>
                </c:pt>
                <c:pt idx="2">
                  <c:v>2289186</c:v>
                </c:pt>
                <c:pt idx="3">
                  <c:v>2296289</c:v>
                </c:pt>
                <c:pt idx="4">
                  <c:v>2084378</c:v>
                </c:pt>
              </c:numCache>
            </c:numRef>
          </c:val>
          <c:extLst>
            <c:ext xmlns:c16="http://schemas.microsoft.com/office/drawing/2014/chart" uri="{C3380CC4-5D6E-409C-BE32-E72D297353CC}">
              <c16:uniqueId val="{00000000-2B92-4753-BAB8-12218C750FA5}"/>
            </c:ext>
          </c:extLst>
        </c:ser>
        <c:dLbls>
          <c:showLegendKey val="0"/>
          <c:showVal val="0"/>
          <c:showCatName val="0"/>
          <c:showSerName val="0"/>
          <c:showPercent val="0"/>
          <c:showBubbleSize val="0"/>
        </c:dLbls>
        <c:gapWidth val="182"/>
        <c:axId val="491883215"/>
        <c:axId val="491879887"/>
      </c:barChart>
      <c:catAx>
        <c:axId val="49188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79887"/>
        <c:crosses val="autoZero"/>
        <c:auto val="1"/>
        <c:lblAlgn val="ctr"/>
        <c:lblOffset val="100"/>
        <c:noMultiLvlLbl val="0"/>
      </c:catAx>
      <c:valAx>
        <c:axId val="491879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832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HR_Analytics_Dashboard_Final.xlsx]pivot table!PivotTable8</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table'!$H$3:$H$4</c:f>
              <c:strCache>
                <c:ptCount val="1"/>
                <c:pt idx="0">
                  <c:v>No</c:v>
                </c:pt>
              </c:strCache>
            </c:strRef>
          </c:tx>
          <c:spPr>
            <a:solidFill>
              <a:schemeClr val="accent1"/>
            </a:solidFill>
            <a:ln>
              <a:noFill/>
            </a:ln>
            <a:effectLst/>
          </c:spPr>
          <c:invertIfNegative val="0"/>
          <c:cat>
            <c:strRef>
              <c:f>'pivot table'!$G$5:$G$10</c:f>
              <c:strCache>
                <c:ptCount val="5"/>
                <c:pt idx="0">
                  <c:v>Finance</c:v>
                </c:pt>
                <c:pt idx="1">
                  <c:v>HR</c:v>
                </c:pt>
                <c:pt idx="2">
                  <c:v>IT</c:v>
                </c:pt>
                <c:pt idx="3">
                  <c:v>Marketing</c:v>
                </c:pt>
                <c:pt idx="4">
                  <c:v>Sales</c:v>
                </c:pt>
              </c:strCache>
            </c:strRef>
          </c:cat>
          <c:val>
            <c:numRef>
              <c:f>'pivot table'!$H$5:$H$10</c:f>
              <c:numCache>
                <c:formatCode>General</c:formatCode>
                <c:ptCount val="5"/>
                <c:pt idx="0">
                  <c:v>29190</c:v>
                </c:pt>
                <c:pt idx="1">
                  <c:v>39462</c:v>
                </c:pt>
                <c:pt idx="2">
                  <c:v>32817</c:v>
                </c:pt>
                <c:pt idx="3">
                  <c:v>34253</c:v>
                </c:pt>
                <c:pt idx="4">
                  <c:v>32311</c:v>
                </c:pt>
              </c:numCache>
            </c:numRef>
          </c:val>
          <c:extLst>
            <c:ext xmlns:c16="http://schemas.microsoft.com/office/drawing/2014/chart" uri="{C3380CC4-5D6E-409C-BE32-E72D297353CC}">
              <c16:uniqueId val="{00000000-16E9-4910-8B4A-7D935BEB6795}"/>
            </c:ext>
          </c:extLst>
        </c:ser>
        <c:ser>
          <c:idx val="1"/>
          <c:order val="1"/>
          <c:tx>
            <c:strRef>
              <c:f>'pivot table'!$I$3:$I$4</c:f>
              <c:strCache>
                <c:ptCount val="1"/>
                <c:pt idx="0">
                  <c:v>Yes</c:v>
                </c:pt>
              </c:strCache>
            </c:strRef>
          </c:tx>
          <c:spPr>
            <a:solidFill>
              <a:schemeClr val="accent2"/>
            </a:solidFill>
            <a:ln>
              <a:noFill/>
            </a:ln>
            <a:effectLst/>
          </c:spPr>
          <c:invertIfNegative val="0"/>
          <c:cat>
            <c:strRef>
              <c:f>'pivot table'!$G$5:$G$10</c:f>
              <c:strCache>
                <c:ptCount val="5"/>
                <c:pt idx="0">
                  <c:v>Finance</c:v>
                </c:pt>
                <c:pt idx="1">
                  <c:v>HR</c:v>
                </c:pt>
                <c:pt idx="2">
                  <c:v>IT</c:v>
                </c:pt>
                <c:pt idx="3">
                  <c:v>Marketing</c:v>
                </c:pt>
                <c:pt idx="4">
                  <c:v>Sales</c:v>
                </c:pt>
              </c:strCache>
            </c:strRef>
          </c:cat>
          <c:val>
            <c:numRef>
              <c:f>'pivot table'!$I$5:$I$10</c:f>
              <c:numCache>
                <c:formatCode>General</c:formatCode>
                <c:ptCount val="5"/>
                <c:pt idx="0">
                  <c:v>17743</c:v>
                </c:pt>
                <c:pt idx="1">
                  <c:v>8589</c:v>
                </c:pt>
                <c:pt idx="2">
                  <c:v>10183</c:v>
                </c:pt>
                <c:pt idx="3">
                  <c:v>7758</c:v>
                </c:pt>
                <c:pt idx="4">
                  <c:v>7794</c:v>
                </c:pt>
              </c:numCache>
            </c:numRef>
          </c:val>
          <c:extLst>
            <c:ext xmlns:c16="http://schemas.microsoft.com/office/drawing/2014/chart" uri="{C3380CC4-5D6E-409C-BE32-E72D297353CC}">
              <c16:uniqueId val="{00000000-36D7-47F8-B8CE-795554190F94}"/>
            </c:ext>
          </c:extLst>
        </c:ser>
        <c:dLbls>
          <c:showLegendKey val="0"/>
          <c:showVal val="0"/>
          <c:showCatName val="0"/>
          <c:showSerName val="0"/>
          <c:showPercent val="0"/>
          <c:showBubbleSize val="0"/>
        </c:dLbls>
        <c:gapWidth val="219"/>
        <c:overlap val="-27"/>
        <c:axId val="621845935"/>
        <c:axId val="621841775"/>
      </c:barChart>
      <c:catAx>
        <c:axId val="62184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41775"/>
        <c:crosses val="autoZero"/>
        <c:auto val="1"/>
        <c:lblAlgn val="ctr"/>
        <c:lblOffset val="100"/>
        <c:noMultiLvlLbl val="0"/>
      </c:catAx>
      <c:valAx>
        <c:axId val="62184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459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HR_Analytics_Dashboard_Final.xlsx]pivot table!PivotTable9</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B6-4985-A0B0-DAD92C4667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B6-4985-A0B0-DAD92C466777}"/>
              </c:ext>
            </c:extLst>
          </c:dPt>
          <c:cat>
            <c:strRef>
              <c:f>'pivot table'!$L$4:$L$6</c:f>
              <c:strCache>
                <c:ptCount val="2"/>
                <c:pt idx="0">
                  <c:v>Female</c:v>
                </c:pt>
                <c:pt idx="1">
                  <c:v>Male</c:v>
                </c:pt>
              </c:strCache>
            </c:strRef>
          </c:cat>
          <c:val>
            <c:numRef>
              <c:f>'pivot table'!$M$4:$M$6</c:f>
              <c:numCache>
                <c:formatCode>General</c:formatCode>
                <c:ptCount val="2"/>
                <c:pt idx="0">
                  <c:v>126145</c:v>
                </c:pt>
                <c:pt idx="1">
                  <c:v>93955</c:v>
                </c:pt>
              </c:numCache>
            </c:numRef>
          </c:val>
          <c:extLst>
            <c:ext xmlns:c16="http://schemas.microsoft.com/office/drawing/2014/chart" uri="{C3380CC4-5D6E-409C-BE32-E72D297353CC}">
              <c16:uniqueId val="{00000000-D348-4FE8-A3FB-D1261CA0AB2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HR_Analytics_Dashboard_Final.xlsx]pivot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Finance</c:v>
                </c:pt>
                <c:pt idx="1">
                  <c:v>HR</c:v>
                </c:pt>
                <c:pt idx="2">
                  <c:v>IT</c:v>
                </c:pt>
                <c:pt idx="3">
                  <c:v>Marketing</c:v>
                </c:pt>
                <c:pt idx="4">
                  <c:v>Sales</c:v>
                </c:pt>
              </c:strCache>
            </c:strRef>
          </c:cat>
          <c:val>
            <c:numRef>
              <c:f>'pivot table'!$E$4:$E$9</c:f>
              <c:numCache>
                <c:formatCode>General</c:formatCode>
                <c:ptCount val="5"/>
                <c:pt idx="0">
                  <c:v>2564565</c:v>
                </c:pt>
                <c:pt idx="1">
                  <c:v>2655636</c:v>
                </c:pt>
                <c:pt idx="2">
                  <c:v>2289186</c:v>
                </c:pt>
                <c:pt idx="3">
                  <c:v>2296289</c:v>
                </c:pt>
                <c:pt idx="4">
                  <c:v>2084378</c:v>
                </c:pt>
              </c:numCache>
            </c:numRef>
          </c:val>
          <c:extLst>
            <c:ext xmlns:c16="http://schemas.microsoft.com/office/drawing/2014/chart" uri="{C3380CC4-5D6E-409C-BE32-E72D297353CC}">
              <c16:uniqueId val="{00000000-A8E4-4DC5-BAB4-511EF1DBA4F0}"/>
            </c:ext>
          </c:extLst>
        </c:ser>
        <c:dLbls>
          <c:showLegendKey val="0"/>
          <c:showVal val="0"/>
          <c:showCatName val="0"/>
          <c:showSerName val="0"/>
          <c:showPercent val="0"/>
          <c:showBubbleSize val="0"/>
        </c:dLbls>
        <c:gapWidth val="182"/>
        <c:axId val="491883215"/>
        <c:axId val="491879887"/>
      </c:barChart>
      <c:catAx>
        <c:axId val="49188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79887"/>
        <c:crosses val="autoZero"/>
        <c:auto val="1"/>
        <c:lblAlgn val="ctr"/>
        <c:lblOffset val="100"/>
        <c:noMultiLvlLbl val="0"/>
      </c:catAx>
      <c:valAx>
        <c:axId val="491879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832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HR_Analytics_Dashboard_Final.xlsx]pivot table!PivotTable9</c:name>
    <c:fmtId val="4"/>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t>Gender</a:t>
            </a:r>
            <a:r>
              <a:rPr lang="en-US" baseline="0"/>
              <a:t> Distribution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s>
    <c:plotArea>
      <c:layout/>
      <c:pieChart>
        <c:varyColors val="1"/>
        <c:ser>
          <c:idx val="0"/>
          <c:order val="0"/>
          <c:tx>
            <c:strRef>
              <c:f>'pivot table'!$M$3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3D-4EDA-805B-37B0D34720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3D-4EDA-805B-37B0D347200B}"/>
              </c:ext>
            </c:extLst>
          </c:dPt>
          <c:cat>
            <c:strRef>
              <c:f>'pivot table'!$L$4:$L$6</c:f>
              <c:strCache>
                <c:ptCount val="2"/>
                <c:pt idx="0">
                  <c:v>Female</c:v>
                </c:pt>
                <c:pt idx="1">
                  <c:v>Male</c:v>
                </c:pt>
              </c:strCache>
            </c:strRef>
          </c:cat>
          <c:val>
            <c:numRef>
              <c:f>'pivot table'!$M$4:$M$6</c:f>
              <c:numCache>
                <c:formatCode>General</c:formatCode>
                <c:ptCount val="2"/>
                <c:pt idx="0">
                  <c:v>126145</c:v>
                </c:pt>
                <c:pt idx="1">
                  <c:v>93955</c:v>
                </c:pt>
              </c:numCache>
            </c:numRef>
          </c:val>
          <c:extLst>
            <c:ext xmlns:c16="http://schemas.microsoft.com/office/drawing/2014/chart" uri="{C3380CC4-5D6E-409C-BE32-E72D297353CC}">
              <c16:uniqueId val="{00000004-9B3D-4EDA-805B-37B0D347200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HR_Analytics_Dashboard_Final.xlsx]pivot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Analysis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table'!$H$3:$H$4</c:f>
              <c:strCache>
                <c:ptCount val="1"/>
                <c:pt idx="0">
                  <c:v>No</c:v>
                </c:pt>
              </c:strCache>
            </c:strRef>
          </c:tx>
          <c:spPr>
            <a:solidFill>
              <a:schemeClr val="accent1"/>
            </a:solidFill>
            <a:ln>
              <a:noFill/>
            </a:ln>
            <a:effectLst/>
          </c:spPr>
          <c:invertIfNegative val="0"/>
          <c:cat>
            <c:strRef>
              <c:f>'pivot table'!$G$5:$G$10</c:f>
              <c:strCache>
                <c:ptCount val="5"/>
                <c:pt idx="0">
                  <c:v>Finance</c:v>
                </c:pt>
                <c:pt idx="1">
                  <c:v>HR</c:v>
                </c:pt>
                <c:pt idx="2">
                  <c:v>IT</c:v>
                </c:pt>
                <c:pt idx="3">
                  <c:v>Marketing</c:v>
                </c:pt>
                <c:pt idx="4">
                  <c:v>Sales</c:v>
                </c:pt>
              </c:strCache>
            </c:strRef>
          </c:cat>
          <c:val>
            <c:numRef>
              <c:f>'pivot table'!$H$5:$H$10</c:f>
              <c:numCache>
                <c:formatCode>General</c:formatCode>
                <c:ptCount val="5"/>
                <c:pt idx="0">
                  <c:v>29190</c:v>
                </c:pt>
                <c:pt idx="1">
                  <c:v>39462</c:v>
                </c:pt>
                <c:pt idx="2">
                  <c:v>32817</c:v>
                </c:pt>
                <c:pt idx="3">
                  <c:v>34253</c:v>
                </c:pt>
                <c:pt idx="4">
                  <c:v>32311</c:v>
                </c:pt>
              </c:numCache>
            </c:numRef>
          </c:val>
          <c:extLst>
            <c:ext xmlns:c16="http://schemas.microsoft.com/office/drawing/2014/chart" uri="{C3380CC4-5D6E-409C-BE32-E72D297353CC}">
              <c16:uniqueId val="{00000000-7688-4F2D-B672-C565942CB5BA}"/>
            </c:ext>
          </c:extLst>
        </c:ser>
        <c:ser>
          <c:idx val="1"/>
          <c:order val="1"/>
          <c:tx>
            <c:strRef>
              <c:f>'pivot table'!$I$3:$I$4</c:f>
              <c:strCache>
                <c:ptCount val="1"/>
                <c:pt idx="0">
                  <c:v>Yes</c:v>
                </c:pt>
              </c:strCache>
            </c:strRef>
          </c:tx>
          <c:spPr>
            <a:solidFill>
              <a:schemeClr val="accent2"/>
            </a:solidFill>
            <a:ln>
              <a:noFill/>
            </a:ln>
            <a:effectLst/>
          </c:spPr>
          <c:invertIfNegative val="0"/>
          <c:cat>
            <c:strRef>
              <c:f>'pivot table'!$G$5:$G$10</c:f>
              <c:strCache>
                <c:ptCount val="5"/>
                <c:pt idx="0">
                  <c:v>Finance</c:v>
                </c:pt>
                <c:pt idx="1">
                  <c:v>HR</c:v>
                </c:pt>
                <c:pt idx="2">
                  <c:v>IT</c:v>
                </c:pt>
                <c:pt idx="3">
                  <c:v>Marketing</c:v>
                </c:pt>
                <c:pt idx="4">
                  <c:v>Sales</c:v>
                </c:pt>
              </c:strCache>
            </c:strRef>
          </c:cat>
          <c:val>
            <c:numRef>
              <c:f>'pivot table'!$I$5:$I$10</c:f>
              <c:numCache>
                <c:formatCode>General</c:formatCode>
                <c:ptCount val="5"/>
                <c:pt idx="0">
                  <c:v>17743</c:v>
                </c:pt>
                <c:pt idx="1">
                  <c:v>8589</c:v>
                </c:pt>
                <c:pt idx="2">
                  <c:v>10183</c:v>
                </c:pt>
                <c:pt idx="3">
                  <c:v>7758</c:v>
                </c:pt>
                <c:pt idx="4">
                  <c:v>7794</c:v>
                </c:pt>
              </c:numCache>
            </c:numRef>
          </c:val>
          <c:extLst>
            <c:ext xmlns:c16="http://schemas.microsoft.com/office/drawing/2014/chart" uri="{C3380CC4-5D6E-409C-BE32-E72D297353CC}">
              <c16:uniqueId val="{00000000-66BC-4984-9BF4-CEFF0CEB9E93}"/>
            </c:ext>
          </c:extLst>
        </c:ser>
        <c:dLbls>
          <c:showLegendKey val="0"/>
          <c:showVal val="0"/>
          <c:showCatName val="0"/>
          <c:showSerName val="0"/>
          <c:showPercent val="0"/>
          <c:showBubbleSize val="0"/>
        </c:dLbls>
        <c:gapWidth val="219"/>
        <c:overlap val="-27"/>
        <c:axId val="621845935"/>
        <c:axId val="621841775"/>
      </c:barChart>
      <c:catAx>
        <c:axId val="62184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41775"/>
        <c:crosses val="autoZero"/>
        <c:auto val="1"/>
        <c:lblAlgn val="ctr"/>
        <c:lblOffset val="100"/>
        <c:noMultiLvlLbl val="0"/>
      </c:catAx>
      <c:valAx>
        <c:axId val="62184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459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HR_Analytics_Dashboard_Final.xlsx]pivot table!pivot table 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a:t>
            </a:r>
            <a:r>
              <a:rPr lang="en-US" baseline="0"/>
              <a:t> wise Employee Count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Finance</c:v>
                </c:pt>
                <c:pt idx="1">
                  <c:v>HR</c:v>
                </c:pt>
                <c:pt idx="2">
                  <c:v>IT</c:v>
                </c:pt>
                <c:pt idx="3">
                  <c:v>Marketing</c:v>
                </c:pt>
                <c:pt idx="4">
                  <c:v>Sales</c:v>
                </c:pt>
              </c:strCache>
            </c:strRef>
          </c:cat>
          <c:val>
            <c:numRef>
              <c:f>'pivot table'!$B$4:$B$9</c:f>
              <c:numCache>
                <c:formatCode>General</c:formatCode>
                <c:ptCount val="5"/>
                <c:pt idx="0">
                  <c:v>43</c:v>
                </c:pt>
                <c:pt idx="1">
                  <c:v>44</c:v>
                </c:pt>
                <c:pt idx="2">
                  <c:v>39</c:v>
                </c:pt>
                <c:pt idx="3">
                  <c:v>38</c:v>
                </c:pt>
                <c:pt idx="4">
                  <c:v>36</c:v>
                </c:pt>
              </c:numCache>
            </c:numRef>
          </c:val>
          <c:extLst>
            <c:ext xmlns:c16="http://schemas.microsoft.com/office/drawing/2014/chart" uri="{C3380CC4-5D6E-409C-BE32-E72D297353CC}">
              <c16:uniqueId val="{00000000-1C65-4273-A4D3-206060B56B65}"/>
            </c:ext>
          </c:extLst>
        </c:ser>
        <c:dLbls>
          <c:showLegendKey val="0"/>
          <c:showVal val="0"/>
          <c:showCatName val="0"/>
          <c:showSerName val="0"/>
          <c:showPercent val="0"/>
          <c:showBubbleSize val="0"/>
        </c:dLbls>
        <c:gapWidth val="219"/>
        <c:overlap val="-27"/>
        <c:axId val="620334111"/>
        <c:axId val="497017407"/>
      </c:barChart>
      <c:catAx>
        <c:axId val="62033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17407"/>
        <c:crosses val="autoZero"/>
        <c:auto val="1"/>
        <c:lblAlgn val="ctr"/>
        <c:lblOffset val="100"/>
        <c:noMultiLvlLbl val="0"/>
      </c:catAx>
      <c:valAx>
        <c:axId val="49701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3341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76200</xdr:colOff>
      <xdr:row>12</xdr:row>
      <xdr:rowOff>57149</xdr:rowOff>
    </xdr:from>
    <xdr:to>
      <xdr:col>4</xdr:col>
      <xdr:colOff>342900</xdr:colOff>
      <xdr:row>22</xdr:row>
      <xdr:rowOff>142874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704850</xdr:colOff>
      <xdr:row>12</xdr:row>
      <xdr:rowOff>123826</xdr:rowOff>
    </xdr:from>
    <xdr:to>
      <xdr:col>9</xdr:col>
      <xdr:colOff>533401</xdr:colOff>
      <xdr:row>22</xdr:row>
      <xdr:rowOff>66676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657225</xdr:colOff>
      <xdr:row>12</xdr:row>
      <xdr:rowOff>0</xdr:rowOff>
    </xdr:from>
    <xdr:to>
      <xdr:col>14</xdr:col>
      <xdr:colOff>476250</xdr:colOff>
      <xdr:row>22</xdr:row>
      <xdr:rowOff>114299</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28575</xdr:colOff>
      <xdr:row>12</xdr:row>
      <xdr:rowOff>66675</xdr:rowOff>
    </xdr:from>
    <xdr:to>
      <xdr:col>20</xdr:col>
      <xdr:colOff>180975</xdr:colOff>
      <xdr:row>22</xdr:row>
      <xdr:rowOff>9525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6</xdr:row>
      <xdr:rowOff>180975</xdr:rowOff>
    </xdr:from>
    <xdr:to>
      <xdr:col>9</xdr:col>
      <xdr:colOff>76201</xdr:colOff>
      <xdr:row>16</xdr:row>
      <xdr:rowOff>123825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323850</xdr:colOff>
      <xdr:row>18</xdr:row>
      <xdr:rowOff>0</xdr:rowOff>
    </xdr:from>
    <xdr:to>
      <xdr:col>3</xdr:col>
      <xdr:colOff>1171575</xdr:colOff>
      <xdr:row>27</xdr:row>
      <xdr:rowOff>133350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238125</xdr:colOff>
      <xdr:row>17</xdr:row>
      <xdr:rowOff>171450</xdr:rowOff>
    </xdr:from>
    <xdr:to>
      <xdr:col>8</xdr:col>
      <xdr:colOff>581025</xdr:colOff>
      <xdr:row>27</xdr:row>
      <xdr:rowOff>28575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333375</xdr:colOff>
      <xdr:row>29</xdr:row>
      <xdr:rowOff>28575</xdr:rowOff>
    </xdr:from>
    <xdr:to>
      <xdr:col>2</xdr:col>
      <xdr:colOff>361950</xdr:colOff>
      <xdr:row>42</xdr:row>
      <xdr:rowOff>76200</xdr:rowOff>
    </xdr:to>
    <mc:AlternateContent xmlns:mc="http://schemas.openxmlformats.org/markup-compatibility/2006" xmlns:a14="http://schemas.microsoft.com/office/drawing/2010/main">
      <mc:Choice Requires="a14">
        <xdr:graphicFrame macro="">
          <xdr:nvGraphicFramePr>
            <xdr:cNvPr id="8"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33375" y="5838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714375</xdr:colOff>
      <xdr:row>29</xdr:row>
      <xdr:rowOff>47625</xdr:rowOff>
    </xdr:from>
    <xdr:to>
      <xdr:col>4</xdr:col>
      <xdr:colOff>400050</xdr:colOff>
      <xdr:row>42</xdr:row>
      <xdr:rowOff>95250</xdr:rowOff>
    </xdr:to>
    <mc:AlternateContent xmlns:mc="http://schemas.openxmlformats.org/markup-compatibility/2006" xmlns:a14="http://schemas.microsoft.com/office/drawing/2010/main">
      <mc:Choice Requires="a14">
        <xdr:graphicFrame macro="">
          <xdr:nvGraphicFramePr>
            <xdr:cNvPr id="9"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514600" y="5857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542925</xdr:colOff>
      <xdr:row>29</xdr:row>
      <xdr:rowOff>47625</xdr:rowOff>
    </xdr:from>
    <xdr:to>
      <xdr:col>7</xdr:col>
      <xdr:colOff>95250</xdr:colOff>
      <xdr:row>42</xdr:row>
      <xdr:rowOff>95250</xdr:rowOff>
    </xdr:to>
    <mc:AlternateContent xmlns:mc="http://schemas.openxmlformats.org/markup-compatibility/2006" xmlns:a14="http://schemas.microsoft.com/office/drawing/2010/main">
      <mc:Choice Requires="a14">
        <xdr:graphicFrame macro="">
          <xdr:nvGraphicFramePr>
            <xdr:cNvPr id="10"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486275" y="5857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47625</xdr:colOff>
      <xdr:row>29</xdr:row>
      <xdr:rowOff>66675</xdr:rowOff>
    </xdr:from>
    <xdr:to>
      <xdr:col>10</xdr:col>
      <xdr:colOff>47625</xdr:colOff>
      <xdr:row>42</xdr:row>
      <xdr:rowOff>114300</xdr:rowOff>
    </xdr:to>
    <mc:AlternateContent xmlns:mc="http://schemas.openxmlformats.org/markup-compatibility/2006" xmlns:a14="http://schemas.microsoft.com/office/drawing/2010/main">
      <mc:Choice Requires="a14">
        <xdr:graphicFrame macro="">
          <xdr:nvGraphicFramePr>
            <xdr:cNvPr id="11" name="Attrition 1"/>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6267450" y="5876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28575</xdr:colOff>
      <xdr:row>6</xdr:row>
      <xdr:rowOff>123825</xdr:rowOff>
    </xdr:from>
    <xdr:to>
      <xdr:col>4</xdr:col>
      <xdr:colOff>104775</xdr:colOff>
      <xdr:row>17</xdr:row>
      <xdr:rowOff>28575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ime" refreshedDate="46197.562080439813" createdVersion="6" refreshedVersion="6" minRefreshableVersion="3" recordCount="200">
  <cacheSource type="worksheet">
    <worksheetSource ref="A1:Q201" sheet="HR_Analytics"/>
  </cacheSource>
  <cacheFields count="17">
    <cacheField name="Emp_ID" numFmtId="0">
      <sharedItems containsSemiMixedTypes="0" containsString="0" containsNumber="1" containsInteger="1" minValue="1001" maxValue="1200"/>
    </cacheField>
    <cacheField name="Employee_Name" numFmtId="0">
      <sharedItems/>
    </cacheField>
    <cacheField name="Gender" numFmtId="0">
      <sharedItems count="2">
        <s v="Female"/>
        <s v="Male"/>
      </sharedItems>
    </cacheField>
    <cacheField name="Age" numFmtId="0">
      <sharedItems containsSemiMixedTypes="0" containsString="0" containsNumber="1" containsInteger="1" minValue="22" maxValue="45"/>
    </cacheField>
    <cacheField name="Department" numFmtId="0">
      <sharedItems count="5">
        <s v="IT"/>
        <s v="Marketing"/>
        <s v="Finance"/>
        <s v="Sales"/>
        <s v="HR"/>
      </sharedItems>
    </cacheField>
    <cacheField name="Job_Role" numFmtId="0">
      <sharedItems/>
    </cacheField>
    <cacheField name="Salary" numFmtId="0">
      <sharedItems containsSemiMixedTypes="0" containsString="0" containsNumber="1" containsInteger="1" minValue="30491" maxValue="89951"/>
    </cacheField>
    <cacheField name="Experience" numFmtId="0">
      <sharedItems containsSemiMixedTypes="0" containsString="0" containsNumber="1" containsInteger="1" minValue="1" maxValue="15"/>
    </cacheField>
    <cacheField name="City" numFmtId="0">
      <sharedItems count="5">
        <s v="Nagpur"/>
        <s v="Pune"/>
        <s v="Nashik"/>
        <s v="Mumbai"/>
        <s v="Aurangabad"/>
      </sharedItems>
    </cacheField>
    <cacheField name="Joining_Date" numFmtId="164">
      <sharedItems containsSemiMixedTypes="0" containsNonDate="0" containsDate="1" containsString="0" minDate="2018-01-04T00:00:00" maxDate="2026-03-18T00:00:00"/>
    </cacheField>
    <cacheField name="Performance_Rating" numFmtId="0">
      <sharedItems containsSemiMixedTypes="0" containsString="0" containsNumber="1" containsInteger="1" minValue="1" maxValue="5"/>
    </cacheField>
    <cacheField name="Attendance_%" numFmtId="0">
      <sharedItems containsSemiMixedTypes="0" containsString="0" containsNumber="1" containsInteger="1" minValue="75" maxValue="100"/>
    </cacheField>
    <cacheField name="Overtime_Hours" numFmtId="0">
      <sharedItems containsSemiMixedTypes="0" containsString="0" containsNumber="1" containsInteger="1" minValue="0" maxValue="30"/>
    </cacheField>
    <cacheField name="Attrition" numFmtId="0">
      <sharedItems count="2">
        <s v="No"/>
        <s v="Yes"/>
      </sharedItems>
    </cacheField>
    <cacheField name="Annual salary" numFmtId="0">
      <sharedItems containsSemiMixedTypes="0" containsString="0" containsNumber="1" containsInteger="1" minValue="365892" maxValue="1079412"/>
    </cacheField>
    <cacheField name="Experience level" numFmtId="0">
      <sharedItems/>
    </cacheField>
    <cacheField name="Performance status" numFmtId="0">
      <sharedItems count="2">
        <s v="Excellent"/>
        <s v="Needs Improvemen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n v="1001"/>
    <s v="Neha Jadhav"/>
    <x v="0"/>
    <n v="24"/>
    <x v="0"/>
    <s v="Team Lead"/>
    <n v="74510"/>
    <n v="12"/>
    <x v="0"/>
    <d v="2022-07-04T00:00:00"/>
    <n v="5"/>
    <n v="99"/>
    <n v="13"/>
    <x v="0"/>
    <n v="894120"/>
    <s v="Senior"/>
    <x v="0"/>
  </r>
  <r>
    <n v="1002"/>
    <s v="Akash Kumar"/>
    <x v="0"/>
    <n v="27"/>
    <x v="1"/>
    <s v="SEO Analyst"/>
    <n v="72524"/>
    <n v="10"/>
    <x v="1"/>
    <d v="2025-08-31T00:00:00"/>
    <n v="5"/>
    <n v="94"/>
    <n v="18"/>
    <x v="0"/>
    <n v="870288"/>
    <s v="Senior"/>
    <x v="0"/>
  </r>
  <r>
    <n v="1003"/>
    <s v="Priya Deshmukh"/>
    <x v="1"/>
    <n v="41"/>
    <x v="0"/>
    <s v="Team Lead"/>
    <n v="51358"/>
    <n v="12"/>
    <x v="0"/>
    <d v="2018-01-24T00:00:00"/>
    <n v="1"/>
    <n v="98"/>
    <n v="25"/>
    <x v="0"/>
    <n v="616296"/>
    <s v="Senior"/>
    <x v="1"/>
  </r>
  <r>
    <n v="1004"/>
    <s v="Rahul Pawar"/>
    <x v="0"/>
    <n v="38"/>
    <x v="2"/>
    <s v="Finance Analyst"/>
    <n v="83033"/>
    <n v="6"/>
    <x v="2"/>
    <d v="2022-02-07T00:00:00"/>
    <n v="1"/>
    <n v="88"/>
    <n v="2"/>
    <x v="0"/>
    <n v="996396"/>
    <s v="Mid-Level"/>
    <x v="1"/>
  </r>
  <r>
    <n v="1005"/>
    <s v="Rohan Singh"/>
    <x v="1"/>
    <n v="27"/>
    <x v="3"/>
    <s v="Sales Manager"/>
    <n v="88356"/>
    <n v="2"/>
    <x v="1"/>
    <d v="2026-02-10T00:00:00"/>
    <n v="1"/>
    <n v="99"/>
    <n v="12"/>
    <x v="0"/>
    <n v="1060272"/>
    <s v="Junior"/>
    <x v="1"/>
  </r>
  <r>
    <n v="1006"/>
    <s v="Manoj Sharma"/>
    <x v="0"/>
    <n v="24"/>
    <x v="0"/>
    <s v="Developer"/>
    <n v="65806"/>
    <n v="9"/>
    <x v="2"/>
    <d v="2025-06-30T00:00:00"/>
    <n v="2"/>
    <n v="80"/>
    <n v="8"/>
    <x v="0"/>
    <n v="789672"/>
    <s v="Senior"/>
    <x v="1"/>
  </r>
  <r>
    <n v="1007"/>
    <s v="Rahul Patil"/>
    <x v="1"/>
    <n v="42"/>
    <x v="4"/>
    <s v="Recruiter"/>
    <n v="62003"/>
    <n v="8"/>
    <x v="1"/>
    <d v="2020-12-05T00:00:00"/>
    <n v="4"/>
    <n v="99"/>
    <n v="14"/>
    <x v="0"/>
    <n v="744036"/>
    <s v="Senior"/>
    <x v="0"/>
  </r>
  <r>
    <n v="1008"/>
    <s v="Sonal Sharma"/>
    <x v="1"/>
    <n v="26"/>
    <x v="1"/>
    <s v="SEO Analyst"/>
    <n v="34895"/>
    <n v="6"/>
    <x v="0"/>
    <d v="2022-05-28T00:00:00"/>
    <n v="3"/>
    <n v="87"/>
    <n v="30"/>
    <x v="0"/>
    <n v="418740"/>
    <s v="Mid-Level"/>
    <x v="1"/>
  </r>
  <r>
    <n v="1009"/>
    <s v="Neha Deshmukh"/>
    <x v="1"/>
    <n v="24"/>
    <x v="3"/>
    <s v="Sales Manager"/>
    <n v="39181"/>
    <n v="7"/>
    <x v="1"/>
    <d v="2020-09-13T00:00:00"/>
    <n v="1"/>
    <n v="83"/>
    <n v="2"/>
    <x v="1"/>
    <n v="470172"/>
    <s v="Senior"/>
    <x v="1"/>
  </r>
  <r>
    <n v="1010"/>
    <s v="Pooja Patil"/>
    <x v="1"/>
    <n v="28"/>
    <x v="3"/>
    <s v="Sales Manager"/>
    <n v="58901"/>
    <n v="2"/>
    <x v="0"/>
    <d v="2019-10-26T00:00:00"/>
    <n v="3"/>
    <n v="83"/>
    <n v="29"/>
    <x v="0"/>
    <n v="706812"/>
    <s v="Junior"/>
    <x v="1"/>
  </r>
  <r>
    <n v="1011"/>
    <s v="Sonal Singh"/>
    <x v="0"/>
    <n v="26"/>
    <x v="3"/>
    <s v="Sales Executive"/>
    <n v="35317"/>
    <n v="13"/>
    <x v="1"/>
    <d v="2022-08-27T00:00:00"/>
    <n v="2"/>
    <n v="77"/>
    <n v="5"/>
    <x v="1"/>
    <n v="423804"/>
    <s v="Senior"/>
    <x v="1"/>
  </r>
  <r>
    <n v="1012"/>
    <s v="Nikita Patil"/>
    <x v="1"/>
    <n v="41"/>
    <x v="0"/>
    <s v="Developer"/>
    <n v="71424"/>
    <n v="7"/>
    <x v="0"/>
    <d v="2021-07-31T00:00:00"/>
    <n v="2"/>
    <n v="76"/>
    <n v="0"/>
    <x v="1"/>
    <n v="857088"/>
    <s v="Senior"/>
    <x v="1"/>
  </r>
  <r>
    <n v="1013"/>
    <s v="Pooja Joshi"/>
    <x v="0"/>
    <n v="34"/>
    <x v="1"/>
    <s v="Marketing Executive"/>
    <n v="50355"/>
    <n v="2"/>
    <x v="2"/>
    <d v="2026-02-03T00:00:00"/>
    <n v="2"/>
    <n v="90"/>
    <n v="5"/>
    <x v="0"/>
    <n v="604260"/>
    <s v="Junior"/>
    <x v="1"/>
  </r>
  <r>
    <n v="1014"/>
    <s v="Karan Sharma"/>
    <x v="0"/>
    <n v="23"/>
    <x v="1"/>
    <s v="Marketing Executive"/>
    <n v="56605"/>
    <n v="4"/>
    <x v="2"/>
    <d v="2020-08-28T00:00:00"/>
    <n v="1"/>
    <n v="76"/>
    <n v="28"/>
    <x v="0"/>
    <n v="679260"/>
    <s v="Mid-Level"/>
    <x v="1"/>
  </r>
  <r>
    <n v="1015"/>
    <s v="Rahul Joshi"/>
    <x v="0"/>
    <n v="38"/>
    <x v="1"/>
    <s v="SEO Analyst"/>
    <n v="87527"/>
    <n v="6"/>
    <x v="3"/>
    <d v="2025-05-17T00:00:00"/>
    <n v="5"/>
    <n v="88"/>
    <n v="25"/>
    <x v="0"/>
    <n v="1050324"/>
    <s v="Mid-Level"/>
    <x v="0"/>
  </r>
  <r>
    <n v="1016"/>
    <s v="Sonal More"/>
    <x v="1"/>
    <n v="40"/>
    <x v="2"/>
    <s v="Accountant"/>
    <n v="56360"/>
    <n v="4"/>
    <x v="2"/>
    <d v="2021-08-15T00:00:00"/>
    <n v="4"/>
    <n v="80"/>
    <n v="23"/>
    <x v="0"/>
    <n v="676320"/>
    <s v="Mid-Level"/>
    <x v="0"/>
  </r>
  <r>
    <n v="1017"/>
    <s v="Vikas Gupta"/>
    <x v="0"/>
    <n v="28"/>
    <x v="1"/>
    <s v="Marketing Executive"/>
    <n v="55125"/>
    <n v="12"/>
    <x v="1"/>
    <d v="2018-08-10T00:00:00"/>
    <n v="5"/>
    <n v="96"/>
    <n v="18"/>
    <x v="0"/>
    <n v="661500"/>
    <s v="Senior"/>
    <x v="0"/>
  </r>
  <r>
    <n v="1018"/>
    <s v="Priya Kumar"/>
    <x v="0"/>
    <n v="27"/>
    <x v="2"/>
    <s v="Finance Analyst"/>
    <n v="43227"/>
    <n v="4"/>
    <x v="1"/>
    <d v="2021-02-27T00:00:00"/>
    <n v="5"/>
    <n v="78"/>
    <n v="3"/>
    <x v="1"/>
    <n v="518724"/>
    <s v="Mid-Level"/>
    <x v="0"/>
  </r>
  <r>
    <n v="1019"/>
    <s v="Anjali Kumar"/>
    <x v="0"/>
    <n v="23"/>
    <x v="2"/>
    <s v="Accountant"/>
    <n v="72690"/>
    <n v="6"/>
    <x v="4"/>
    <d v="2020-02-11T00:00:00"/>
    <n v="2"/>
    <n v="94"/>
    <n v="23"/>
    <x v="0"/>
    <n v="872280"/>
    <s v="Mid-Level"/>
    <x v="1"/>
  </r>
  <r>
    <n v="1020"/>
    <s v="Manoj Joshi"/>
    <x v="1"/>
    <n v="33"/>
    <x v="3"/>
    <s v="Sales Executive"/>
    <n v="72737"/>
    <n v="3"/>
    <x v="0"/>
    <d v="2023-12-31T00:00:00"/>
    <n v="3"/>
    <n v="84"/>
    <n v="15"/>
    <x v="0"/>
    <n v="872844"/>
    <s v="Mid-Level"/>
    <x v="1"/>
  </r>
  <r>
    <n v="1021"/>
    <s v="Pooja Joshi"/>
    <x v="0"/>
    <n v="37"/>
    <x v="4"/>
    <s v="HR Executive"/>
    <n v="78804"/>
    <n v="1"/>
    <x v="2"/>
    <d v="2024-10-14T00:00:00"/>
    <n v="2"/>
    <n v="96"/>
    <n v="9"/>
    <x v="0"/>
    <n v="945648"/>
    <s v="Junior"/>
    <x v="1"/>
  </r>
  <r>
    <n v="1022"/>
    <s v="Neha Jadhav"/>
    <x v="0"/>
    <n v="45"/>
    <x v="4"/>
    <s v="HR Executive"/>
    <n v="53758"/>
    <n v="8"/>
    <x v="2"/>
    <d v="2025-02-01T00:00:00"/>
    <n v="4"/>
    <n v="75"/>
    <n v="27"/>
    <x v="0"/>
    <n v="645096"/>
    <s v="Senior"/>
    <x v="0"/>
  </r>
  <r>
    <n v="1023"/>
    <s v="Pooja Singh"/>
    <x v="1"/>
    <n v="36"/>
    <x v="0"/>
    <s v="Analyst"/>
    <n v="52084"/>
    <n v="11"/>
    <x v="3"/>
    <d v="2018-02-19T00:00:00"/>
    <n v="4"/>
    <n v="98"/>
    <n v="19"/>
    <x v="0"/>
    <n v="625008"/>
    <s v="Senior"/>
    <x v="0"/>
  </r>
  <r>
    <n v="1024"/>
    <s v="Anjali Deshmukh"/>
    <x v="0"/>
    <n v="28"/>
    <x v="1"/>
    <s v="SEO Analyst"/>
    <n v="79689"/>
    <n v="13"/>
    <x v="2"/>
    <d v="2019-06-24T00:00:00"/>
    <n v="4"/>
    <n v="81"/>
    <n v="16"/>
    <x v="0"/>
    <n v="956268"/>
    <s v="Senior"/>
    <x v="0"/>
  </r>
  <r>
    <n v="1025"/>
    <s v="Neha Kumar"/>
    <x v="0"/>
    <n v="24"/>
    <x v="0"/>
    <s v="Developer"/>
    <n v="72568"/>
    <n v="10"/>
    <x v="4"/>
    <d v="2019-05-16T00:00:00"/>
    <n v="1"/>
    <n v="95"/>
    <n v="21"/>
    <x v="0"/>
    <n v="870816"/>
    <s v="Senior"/>
    <x v="1"/>
  </r>
  <r>
    <n v="1026"/>
    <s v="Ritu Gupta"/>
    <x v="1"/>
    <n v="36"/>
    <x v="0"/>
    <s v="Team Lead"/>
    <n v="39227"/>
    <n v="10"/>
    <x v="1"/>
    <d v="2024-01-04T00:00:00"/>
    <n v="4"/>
    <n v="95"/>
    <n v="30"/>
    <x v="0"/>
    <n v="470724"/>
    <s v="Senior"/>
    <x v="0"/>
  </r>
  <r>
    <n v="1027"/>
    <s v="Nikita Pawar"/>
    <x v="0"/>
    <n v="41"/>
    <x v="0"/>
    <s v="Team Lead"/>
    <n v="63390"/>
    <n v="7"/>
    <x v="2"/>
    <d v="2020-03-24T00:00:00"/>
    <n v="1"/>
    <n v="78"/>
    <n v="27"/>
    <x v="0"/>
    <n v="760680"/>
    <s v="Senior"/>
    <x v="1"/>
  </r>
  <r>
    <n v="1028"/>
    <s v="Pooja Singh"/>
    <x v="0"/>
    <n v="41"/>
    <x v="1"/>
    <s v="SEO Analyst"/>
    <n v="62903"/>
    <n v="9"/>
    <x v="4"/>
    <d v="2018-06-21T00:00:00"/>
    <n v="1"/>
    <n v="84"/>
    <n v="7"/>
    <x v="1"/>
    <n v="754836"/>
    <s v="Senior"/>
    <x v="1"/>
  </r>
  <r>
    <n v="1029"/>
    <s v="Pooja Kumar"/>
    <x v="0"/>
    <n v="31"/>
    <x v="2"/>
    <s v="Finance Analyst"/>
    <n v="74192"/>
    <n v="11"/>
    <x v="3"/>
    <d v="2021-12-01T00:00:00"/>
    <n v="4"/>
    <n v="95"/>
    <n v="20"/>
    <x v="0"/>
    <n v="890304"/>
    <s v="Senior"/>
    <x v="0"/>
  </r>
  <r>
    <n v="1030"/>
    <s v="Priya Joshi"/>
    <x v="1"/>
    <n v="31"/>
    <x v="2"/>
    <s v="Accountant"/>
    <n v="66436"/>
    <n v="12"/>
    <x v="2"/>
    <d v="2022-04-09T00:00:00"/>
    <n v="4"/>
    <n v="88"/>
    <n v="11"/>
    <x v="0"/>
    <n v="797232"/>
    <s v="Senior"/>
    <x v="0"/>
  </r>
  <r>
    <n v="1031"/>
    <s v="Vikas Kumar"/>
    <x v="0"/>
    <n v="26"/>
    <x v="2"/>
    <s v="Accountant"/>
    <n v="31091"/>
    <n v="3"/>
    <x v="2"/>
    <d v="2023-01-13T00:00:00"/>
    <n v="4"/>
    <n v="76"/>
    <n v="11"/>
    <x v="0"/>
    <n v="373092"/>
    <s v="Mid-Level"/>
    <x v="0"/>
  </r>
  <r>
    <n v="1032"/>
    <s v="Karan Deshmukh"/>
    <x v="1"/>
    <n v="36"/>
    <x v="2"/>
    <s v="Accountant"/>
    <n v="69762"/>
    <n v="10"/>
    <x v="2"/>
    <d v="2019-03-14T00:00:00"/>
    <n v="4"/>
    <n v="80"/>
    <n v="17"/>
    <x v="0"/>
    <n v="837144"/>
    <s v="Senior"/>
    <x v="0"/>
  </r>
  <r>
    <n v="1033"/>
    <s v="Neha Pawar"/>
    <x v="1"/>
    <n v="36"/>
    <x v="4"/>
    <s v="HR Executive"/>
    <n v="84746"/>
    <n v="2"/>
    <x v="3"/>
    <d v="2018-05-24T00:00:00"/>
    <n v="3"/>
    <n v="83"/>
    <n v="15"/>
    <x v="0"/>
    <n v="1016952"/>
    <s v="Junior"/>
    <x v="1"/>
  </r>
  <r>
    <n v="1034"/>
    <s v="Neha Jadhav"/>
    <x v="1"/>
    <n v="26"/>
    <x v="2"/>
    <s v="Finance Analyst"/>
    <n v="37947"/>
    <n v="14"/>
    <x v="4"/>
    <d v="2023-07-24T00:00:00"/>
    <n v="3"/>
    <n v="76"/>
    <n v="20"/>
    <x v="0"/>
    <n v="455364"/>
    <s v="Senior"/>
    <x v="1"/>
  </r>
  <r>
    <n v="1035"/>
    <s v="Karan Singh"/>
    <x v="1"/>
    <n v="24"/>
    <x v="2"/>
    <s v="Finance Analyst"/>
    <n v="85133"/>
    <n v="9"/>
    <x v="3"/>
    <d v="2023-10-04T00:00:00"/>
    <n v="2"/>
    <n v="91"/>
    <n v="17"/>
    <x v="0"/>
    <n v="1021596"/>
    <s v="Senior"/>
    <x v="1"/>
  </r>
  <r>
    <n v="1036"/>
    <s v="Sonal Singh"/>
    <x v="0"/>
    <n v="35"/>
    <x v="4"/>
    <s v="HR Executive"/>
    <n v="77558"/>
    <n v="1"/>
    <x v="0"/>
    <d v="2025-10-13T00:00:00"/>
    <n v="1"/>
    <n v="86"/>
    <n v="10"/>
    <x v="0"/>
    <n v="930696"/>
    <s v="Junior"/>
    <x v="1"/>
  </r>
  <r>
    <n v="1037"/>
    <s v="Manoj Singh"/>
    <x v="0"/>
    <n v="34"/>
    <x v="2"/>
    <s v="Finance Analyst"/>
    <n v="70609"/>
    <n v="15"/>
    <x v="4"/>
    <d v="2018-07-19T00:00:00"/>
    <n v="3"/>
    <n v="92"/>
    <n v="8"/>
    <x v="0"/>
    <n v="847308"/>
    <s v="Senior"/>
    <x v="1"/>
  </r>
  <r>
    <n v="1038"/>
    <s v="Amit Jadhav"/>
    <x v="0"/>
    <n v="36"/>
    <x v="4"/>
    <s v="HR Manager"/>
    <n v="70253"/>
    <n v="1"/>
    <x v="4"/>
    <d v="2024-06-28T00:00:00"/>
    <n v="4"/>
    <n v="100"/>
    <n v="14"/>
    <x v="1"/>
    <n v="843036"/>
    <s v="Junior"/>
    <x v="0"/>
  </r>
  <r>
    <n v="1039"/>
    <s v="Neha Pawar"/>
    <x v="0"/>
    <n v="41"/>
    <x v="2"/>
    <s v="Finance Analyst"/>
    <n v="48942"/>
    <n v="15"/>
    <x v="2"/>
    <d v="2025-01-15T00:00:00"/>
    <n v="4"/>
    <n v="82"/>
    <n v="4"/>
    <x v="0"/>
    <n v="587304"/>
    <s v="Senior"/>
    <x v="0"/>
  </r>
  <r>
    <n v="1040"/>
    <s v="Sonal Sharma"/>
    <x v="1"/>
    <n v="26"/>
    <x v="4"/>
    <s v="HR Executive"/>
    <n v="33535"/>
    <n v="7"/>
    <x v="3"/>
    <d v="2021-05-13T00:00:00"/>
    <n v="3"/>
    <n v="75"/>
    <n v="8"/>
    <x v="0"/>
    <n v="402420"/>
    <s v="Senior"/>
    <x v="1"/>
  </r>
  <r>
    <n v="1041"/>
    <s v="Anjali Gupta"/>
    <x v="0"/>
    <n v="33"/>
    <x v="3"/>
    <s v="Sales Manager"/>
    <n v="84326"/>
    <n v="8"/>
    <x v="2"/>
    <d v="2018-10-25T00:00:00"/>
    <n v="5"/>
    <n v="75"/>
    <n v="2"/>
    <x v="0"/>
    <n v="1011912"/>
    <s v="Senior"/>
    <x v="0"/>
  </r>
  <r>
    <n v="1042"/>
    <s v="Akash Gupta"/>
    <x v="0"/>
    <n v="36"/>
    <x v="3"/>
    <s v="Sales Manager"/>
    <n v="56164"/>
    <n v="6"/>
    <x v="0"/>
    <d v="2018-07-17T00:00:00"/>
    <n v="5"/>
    <n v="91"/>
    <n v="8"/>
    <x v="0"/>
    <n v="673968"/>
    <s v="Mid-Level"/>
    <x v="0"/>
  </r>
  <r>
    <n v="1043"/>
    <s v="Akash Singh"/>
    <x v="1"/>
    <n v="22"/>
    <x v="2"/>
    <s v="Finance Analyst"/>
    <n v="63628"/>
    <n v="15"/>
    <x v="4"/>
    <d v="2021-09-25T00:00:00"/>
    <n v="3"/>
    <n v="89"/>
    <n v="19"/>
    <x v="0"/>
    <n v="763536"/>
    <s v="Senior"/>
    <x v="1"/>
  </r>
  <r>
    <n v="1044"/>
    <s v="Sonal Kumar"/>
    <x v="0"/>
    <n v="35"/>
    <x v="3"/>
    <s v="Sales Manager"/>
    <n v="69881"/>
    <n v="2"/>
    <x v="2"/>
    <d v="2023-05-02T00:00:00"/>
    <n v="4"/>
    <n v="79"/>
    <n v="6"/>
    <x v="0"/>
    <n v="838572"/>
    <s v="Junior"/>
    <x v="0"/>
  </r>
  <r>
    <n v="1045"/>
    <s v="Neha Patil"/>
    <x v="0"/>
    <n v="38"/>
    <x v="2"/>
    <s v="Finance Analyst"/>
    <n v="31086"/>
    <n v="11"/>
    <x v="0"/>
    <d v="2019-04-14T00:00:00"/>
    <n v="3"/>
    <n v="98"/>
    <n v="16"/>
    <x v="1"/>
    <n v="373032"/>
    <s v="Senior"/>
    <x v="1"/>
  </r>
  <r>
    <n v="1046"/>
    <s v="Priya More"/>
    <x v="0"/>
    <n v="44"/>
    <x v="0"/>
    <s v="Analyst"/>
    <n v="36246"/>
    <n v="1"/>
    <x v="1"/>
    <d v="2022-08-19T00:00:00"/>
    <n v="2"/>
    <n v="82"/>
    <n v="12"/>
    <x v="0"/>
    <n v="434952"/>
    <s v="Junior"/>
    <x v="1"/>
  </r>
  <r>
    <n v="1047"/>
    <s v="Akash Kumar"/>
    <x v="1"/>
    <n v="36"/>
    <x v="4"/>
    <s v="HR Manager"/>
    <n v="86875"/>
    <n v="12"/>
    <x v="1"/>
    <d v="2025-03-31T00:00:00"/>
    <n v="4"/>
    <n v="82"/>
    <n v="15"/>
    <x v="1"/>
    <n v="1042500"/>
    <s v="Senior"/>
    <x v="0"/>
  </r>
  <r>
    <n v="1048"/>
    <s v="Vikas Sharma"/>
    <x v="1"/>
    <n v="44"/>
    <x v="4"/>
    <s v="HR Manager"/>
    <n v="32961"/>
    <n v="6"/>
    <x v="3"/>
    <d v="2025-07-26T00:00:00"/>
    <n v="5"/>
    <n v="91"/>
    <n v="25"/>
    <x v="1"/>
    <n v="395532"/>
    <s v="Mid-Level"/>
    <x v="0"/>
  </r>
  <r>
    <n v="1049"/>
    <s v="Neha Gupta"/>
    <x v="1"/>
    <n v="22"/>
    <x v="0"/>
    <s v="Developer"/>
    <n v="41313"/>
    <n v="7"/>
    <x v="0"/>
    <d v="2020-09-07T00:00:00"/>
    <n v="2"/>
    <n v="88"/>
    <n v="27"/>
    <x v="0"/>
    <n v="495756"/>
    <s v="Senior"/>
    <x v="1"/>
  </r>
  <r>
    <n v="1050"/>
    <s v="Priya More"/>
    <x v="1"/>
    <n v="43"/>
    <x v="4"/>
    <s v="HR Manager"/>
    <n v="34595"/>
    <n v="12"/>
    <x v="1"/>
    <d v="2024-10-25T00:00:00"/>
    <n v="5"/>
    <n v="83"/>
    <n v="14"/>
    <x v="0"/>
    <n v="415140"/>
    <s v="Senior"/>
    <x v="0"/>
  </r>
  <r>
    <n v="1051"/>
    <s v="Karan Pawar"/>
    <x v="0"/>
    <n v="25"/>
    <x v="4"/>
    <s v="HR Manager"/>
    <n v="56274"/>
    <n v="10"/>
    <x v="2"/>
    <d v="2018-07-15T00:00:00"/>
    <n v="2"/>
    <n v="96"/>
    <n v="20"/>
    <x v="0"/>
    <n v="675288"/>
    <s v="Senior"/>
    <x v="1"/>
  </r>
  <r>
    <n v="1052"/>
    <s v="Nikita Kumar"/>
    <x v="0"/>
    <n v="41"/>
    <x v="2"/>
    <s v="Accountant"/>
    <n v="60536"/>
    <n v="13"/>
    <x v="2"/>
    <d v="2025-03-12T00:00:00"/>
    <n v="2"/>
    <n v="91"/>
    <n v="6"/>
    <x v="1"/>
    <n v="726432"/>
    <s v="Senior"/>
    <x v="1"/>
  </r>
  <r>
    <n v="1053"/>
    <s v="Neha More"/>
    <x v="0"/>
    <n v="44"/>
    <x v="4"/>
    <s v="Recruiter"/>
    <n v="86729"/>
    <n v="15"/>
    <x v="3"/>
    <d v="2022-02-27T00:00:00"/>
    <n v="1"/>
    <n v="96"/>
    <n v="21"/>
    <x v="0"/>
    <n v="1040748"/>
    <s v="Senior"/>
    <x v="1"/>
  </r>
  <r>
    <n v="1054"/>
    <s v="Ritu More"/>
    <x v="0"/>
    <n v="25"/>
    <x v="1"/>
    <s v="Marketing Executive"/>
    <n v="81052"/>
    <n v="5"/>
    <x v="3"/>
    <d v="2019-11-06T00:00:00"/>
    <n v="1"/>
    <n v="94"/>
    <n v="19"/>
    <x v="0"/>
    <n v="972624"/>
    <s v="Mid-Level"/>
    <x v="1"/>
  </r>
  <r>
    <n v="1055"/>
    <s v="Pooja Sharma"/>
    <x v="0"/>
    <n v="34"/>
    <x v="3"/>
    <s v="Sales Executive"/>
    <n v="40601"/>
    <n v="7"/>
    <x v="2"/>
    <d v="2025-09-16T00:00:00"/>
    <n v="5"/>
    <n v="79"/>
    <n v="10"/>
    <x v="0"/>
    <n v="487212"/>
    <s v="Senior"/>
    <x v="0"/>
  </r>
  <r>
    <n v="1056"/>
    <s v="Priya Joshi"/>
    <x v="1"/>
    <n v="43"/>
    <x v="3"/>
    <s v="Sales Executive"/>
    <n v="58177"/>
    <n v="1"/>
    <x v="4"/>
    <d v="2021-05-09T00:00:00"/>
    <n v="1"/>
    <n v="79"/>
    <n v="20"/>
    <x v="0"/>
    <n v="698124"/>
    <s v="Junior"/>
    <x v="1"/>
  </r>
  <r>
    <n v="1057"/>
    <s v="Rohan More"/>
    <x v="0"/>
    <n v="28"/>
    <x v="3"/>
    <s v="Sales Manager"/>
    <n v="66909"/>
    <n v="1"/>
    <x v="0"/>
    <d v="2025-01-04T00:00:00"/>
    <n v="4"/>
    <n v="90"/>
    <n v="1"/>
    <x v="0"/>
    <n v="802908"/>
    <s v="Junior"/>
    <x v="0"/>
  </r>
  <r>
    <n v="1058"/>
    <s v="Karan More"/>
    <x v="1"/>
    <n v="26"/>
    <x v="2"/>
    <s v="Finance Analyst"/>
    <n v="38759"/>
    <n v="15"/>
    <x v="3"/>
    <d v="2022-04-27T00:00:00"/>
    <n v="4"/>
    <n v="100"/>
    <n v="26"/>
    <x v="0"/>
    <n v="465108"/>
    <s v="Senior"/>
    <x v="0"/>
  </r>
  <r>
    <n v="1059"/>
    <s v="Pooja Jadhav"/>
    <x v="1"/>
    <n v="29"/>
    <x v="0"/>
    <s v="Team Lead"/>
    <n v="89659"/>
    <n v="13"/>
    <x v="4"/>
    <d v="2023-10-10T00:00:00"/>
    <n v="5"/>
    <n v="96"/>
    <n v="8"/>
    <x v="0"/>
    <n v="1075908"/>
    <s v="Senior"/>
    <x v="0"/>
  </r>
  <r>
    <n v="1060"/>
    <s v="Amit Sharma"/>
    <x v="0"/>
    <n v="26"/>
    <x v="4"/>
    <s v="HR Executive"/>
    <n v="78268"/>
    <n v="9"/>
    <x v="2"/>
    <d v="2024-12-31T00:00:00"/>
    <n v="2"/>
    <n v="99"/>
    <n v="11"/>
    <x v="0"/>
    <n v="939216"/>
    <s v="Senior"/>
    <x v="1"/>
  </r>
  <r>
    <n v="1061"/>
    <s v="Sonal Deshmukh"/>
    <x v="0"/>
    <n v="38"/>
    <x v="2"/>
    <s v="Accountant"/>
    <n v="62961"/>
    <n v="10"/>
    <x v="1"/>
    <d v="2022-09-08T00:00:00"/>
    <n v="2"/>
    <n v="82"/>
    <n v="16"/>
    <x v="0"/>
    <n v="755532"/>
    <s v="Senior"/>
    <x v="1"/>
  </r>
  <r>
    <n v="1062"/>
    <s v="Rohan Jadhav"/>
    <x v="0"/>
    <n v="25"/>
    <x v="4"/>
    <s v="HR Executive"/>
    <n v="37956"/>
    <n v="6"/>
    <x v="3"/>
    <d v="2021-05-06T00:00:00"/>
    <n v="2"/>
    <n v="89"/>
    <n v="3"/>
    <x v="0"/>
    <n v="455472"/>
    <s v="Mid-Level"/>
    <x v="1"/>
  </r>
  <r>
    <n v="1063"/>
    <s v="Anjali Joshi"/>
    <x v="0"/>
    <n v="33"/>
    <x v="2"/>
    <s v="Finance Analyst"/>
    <n v="78095"/>
    <n v="9"/>
    <x v="3"/>
    <d v="2018-04-09T00:00:00"/>
    <n v="1"/>
    <n v="82"/>
    <n v="6"/>
    <x v="0"/>
    <n v="937140"/>
    <s v="Senior"/>
    <x v="1"/>
  </r>
  <r>
    <n v="1064"/>
    <s v="Ritu Singh"/>
    <x v="0"/>
    <n v="26"/>
    <x v="4"/>
    <s v="Recruiter"/>
    <n v="58184"/>
    <n v="5"/>
    <x v="0"/>
    <d v="2022-01-08T00:00:00"/>
    <n v="4"/>
    <n v="97"/>
    <n v="19"/>
    <x v="0"/>
    <n v="698208"/>
    <s v="Mid-Level"/>
    <x v="0"/>
  </r>
  <r>
    <n v="1065"/>
    <s v="Nikita Pawar"/>
    <x v="1"/>
    <n v="27"/>
    <x v="4"/>
    <s v="Recruiter"/>
    <n v="35557"/>
    <n v="7"/>
    <x v="4"/>
    <d v="2020-05-07T00:00:00"/>
    <n v="1"/>
    <n v="78"/>
    <n v="9"/>
    <x v="0"/>
    <n v="426684"/>
    <s v="Senior"/>
    <x v="1"/>
  </r>
  <r>
    <n v="1066"/>
    <s v="Sneha Kumar"/>
    <x v="0"/>
    <n v="38"/>
    <x v="2"/>
    <s v="Finance Analyst"/>
    <n v="36823"/>
    <n v="10"/>
    <x v="3"/>
    <d v="2018-07-25T00:00:00"/>
    <n v="5"/>
    <n v="77"/>
    <n v="5"/>
    <x v="1"/>
    <n v="441876"/>
    <s v="Senior"/>
    <x v="0"/>
  </r>
  <r>
    <n v="1067"/>
    <s v="Anjali Kumar"/>
    <x v="0"/>
    <n v="32"/>
    <x v="1"/>
    <s v="SEO Analyst"/>
    <n v="84246"/>
    <n v="6"/>
    <x v="4"/>
    <d v="2025-05-19T00:00:00"/>
    <n v="5"/>
    <n v="90"/>
    <n v="0"/>
    <x v="0"/>
    <n v="1010952"/>
    <s v="Mid-Level"/>
    <x v="0"/>
  </r>
  <r>
    <n v="1068"/>
    <s v="Akash Sharma"/>
    <x v="1"/>
    <n v="42"/>
    <x v="2"/>
    <s v="Finance Analyst"/>
    <n v="71884"/>
    <n v="8"/>
    <x v="2"/>
    <d v="2023-05-21T00:00:00"/>
    <n v="1"/>
    <n v="75"/>
    <n v="5"/>
    <x v="1"/>
    <n v="862608"/>
    <s v="Senior"/>
    <x v="1"/>
  </r>
  <r>
    <n v="1069"/>
    <s v="Akash Gupta"/>
    <x v="0"/>
    <n v="27"/>
    <x v="4"/>
    <s v="HR Manager"/>
    <n v="32494"/>
    <n v="12"/>
    <x v="1"/>
    <d v="2025-06-22T00:00:00"/>
    <n v="1"/>
    <n v="99"/>
    <n v="19"/>
    <x v="0"/>
    <n v="389928"/>
    <s v="Senior"/>
    <x v="1"/>
  </r>
  <r>
    <n v="1070"/>
    <s v="Anjali Sharma"/>
    <x v="1"/>
    <n v="41"/>
    <x v="2"/>
    <s v="Finance Analyst"/>
    <n v="81651"/>
    <n v="8"/>
    <x v="2"/>
    <d v="2024-04-12T00:00:00"/>
    <n v="4"/>
    <n v="88"/>
    <n v="22"/>
    <x v="0"/>
    <n v="979812"/>
    <s v="Senior"/>
    <x v="0"/>
  </r>
  <r>
    <n v="1071"/>
    <s v="Pooja Gupta"/>
    <x v="1"/>
    <n v="26"/>
    <x v="3"/>
    <s v="Sales Executive"/>
    <n v="39088"/>
    <n v="4"/>
    <x v="4"/>
    <d v="2023-01-09T00:00:00"/>
    <n v="2"/>
    <n v="89"/>
    <n v="8"/>
    <x v="0"/>
    <n v="469056"/>
    <s v="Mid-Level"/>
    <x v="1"/>
  </r>
  <r>
    <n v="1072"/>
    <s v="Sneha Jadhav"/>
    <x v="0"/>
    <n v="23"/>
    <x v="4"/>
    <s v="HR Executive"/>
    <n v="52691"/>
    <n v="15"/>
    <x v="3"/>
    <d v="2025-08-10T00:00:00"/>
    <n v="4"/>
    <n v="82"/>
    <n v="24"/>
    <x v="0"/>
    <n v="632292"/>
    <s v="Senior"/>
    <x v="0"/>
  </r>
  <r>
    <n v="1073"/>
    <s v="Neha Pawar"/>
    <x v="0"/>
    <n v="38"/>
    <x v="0"/>
    <s v="Team Lead"/>
    <n v="54061"/>
    <n v="10"/>
    <x v="2"/>
    <d v="2023-05-02T00:00:00"/>
    <n v="4"/>
    <n v="95"/>
    <n v="26"/>
    <x v="0"/>
    <n v="648732"/>
    <s v="Senior"/>
    <x v="0"/>
  </r>
  <r>
    <n v="1074"/>
    <s v="Anjali Pawar"/>
    <x v="0"/>
    <n v="31"/>
    <x v="2"/>
    <s v="Finance Analyst"/>
    <n v="49495"/>
    <n v="4"/>
    <x v="2"/>
    <d v="2021-10-16T00:00:00"/>
    <n v="2"/>
    <n v="78"/>
    <n v="1"/>
    <x v="0"/>
    <n v="593940"/>
    <s v="Mid-Level"/>
    <x v="1"/>
  </r>
  <r>
    <n v="1075"/>
    <s v="Priya Patil"/>
    <x v="1"/>
    <n v="24"/>
    <x v="4"/>
    <s v="HR Manager"/>
    <n v="89305"/>
    <n v="5"/>
    <x v="4"/>
    <d v="2019-07-10T00:00:00"/>
    <n v="2"/>
    <n v="86"/>
    <n v="17"/>
    <x v="1"/>
    <n v="1071660"/>
    <s v="Mid-Level"/>
    <x v="1"/>
  </r>
  <r>
    <n v="1076"/>
    <s v="Ritu Kumar"/>
    <x v="1"/>
    <n v="31"/>
    <x v="4"/>
    <s v="HR Manager"/>
    <n v="75577"/>
    <n v="15"/>
    <x v="2"/>
    <d v="2025-04-08T00:00:00"/>
    <n v="5"/>
    <n v="97"/>
    <n v="15"/>
    <x v="1"/>
    <n v="906924"/>
    <s v="Senior"/>
    <x v="0"/>
  </r>
  <r>
    <n v="1077"/>
    <s v="Amit Deshmukh"/>
    <x v="0"/>
    <n v="43"/>
    <x v="2"/>
    <s v="Finance Analyst"/>
    <n v="83561"/>
    <n v="2"/>
    <x v="3"/>
    <d v="2024-11-07T00:00:00"/>
    <n v="4"/>
    <n v="79"/>
    <n v="3"/>
    <x v="1"/>
    <n v="1002732"/>
    <s v="Junior"/>
    <x v="0"/>
  </r>
  <r>
    <n v="1078"/>
    <s v="Rohan Patil"/>
    <x v="0"/>
    <n v="26"/>
    <x v="4"/>
    <s v="Recruiter"/>
    <n v="41357"/>
    <n v="1"/>
    <x v="3"/>
    <d v="2021-07-15T00:00:00"/>
    <n v="1"/>
    <n v="81"/>
    <n v="30"/>
    <x v="0"/>
    <n v="496284"/>
    <s v="Junior"/>
    <x v="1"/>
  </r>
  <r>
    <n v="1079"/>
    <s v="Amit Gupta"/>
    <x v="1"/>
    <n v="31"/>
    <x v="0"/>
    <s v="Analyst"/>
    <n v="46449"/>
    <n v="14"/>
    <x v="1"/>
    <d v="2019-05-04T00:00:00"/>
    <n v="3"/>
    <n v="89"/>
    <n v="6"/>
    <x v="1"/>
    <n v="557388"/>
    <s v="Senior"/>
    <x v="1"/>
  </r>
  <r>
    <n v="1080"/>
    <s v="Rohan Gupta"/>
    <x v="0"/>
    <n v="36"/>
    <x v="1"/>
    <s v="SEO Analyst"/>
    <n v="85887"/>
    <n v="1"/>
    <x v="1"/>
    <d v="2018-11-18T00:00:00"/>
    <n v="4"/>
    <n v="91"/>
    <n v="8"/>
    <x v="0"/>
    <n v="1030644"/>
    <s v="Junior"/>
    <x v="0"/>
  </r>
  <r>
    <n v="1081"/>
    <s v="Neha More"/>
    <x v="0"/>
    <n v="27"/>
    <x v="4"/>
    <s v="Recruiter"/>
    <n v="69247"/>
    <n v="2"/>
    <x v="2"/>
    <d v="2022-09-23T00:00:00"/>
    <n v="1"/>
    <n v="87"/>
    <n v="3"/>
    <x v="0"/>
    <n v="830964"/>
    <s v="Junior"/>
    <x v="1"/>
  </r>
  <r>
    <n v="1082"/>
    <s v="Rahul More"/>
    <x v="0"/>
    <n v="22"/>
    <x v="3"/>
    <s v="Sales Executive"/>
    <n v="58852"/>
    <n v="6"/>
    <x v="1"/>
    <d v="2020-08-16T00:00:00"/>
    <n v="2"/>
    <n v="76"/>
    <n v="7"/>
    <x v="0"/>
    <n v="706224"/>
    <s v="Mid-Level"/>
    <x v="1"/>
  </r>
  <r>
    <n v="1083"/>
    <s v="Amit Patil"/>
    <x v="1"/>
    <n v="28"/>
    <x v="4"/>
    <s v="Recruiter"/>
    <n v="59237"/>
    <n v="5"/>
    <x v="2"/>
    <d v="2022-05-23T00:00:00"/>
    <n v="2"/>
    <n v="84"/>
    <n v="1"/>
    <x v="0"/>
    <n v="710844"/>
    <s v="Mid-Level"/>
    <x v="1"/>
  </r>
  <r>
    <n v="1084"/>
    <s v="Karan Pawar"/>
    <x v="0"/>
    <n v="27"/>
    <x v="0"/>
    <s v="Team Lead"/>
    <n v="71680"/>
    <n v="1"/>
    <x v="0"/>
    <d v="2026-03-12T00:00:00"/>
    <n v="2"/>
    <n v="85"/>
    <n v="0"/>
    <x v="0"/>
    <n v="860160"/>
    <s v="Junior"/>
    <x v="1"/>
  </r>
  <r>
    <n v="1085"/>
    <s v="Sonal Deshmukh"/>
    <x v="0"/>
    <n v="35"/>
    <x v="1"/>
    <s v="SEO Analyst"/>
    <n v="76981"/>
    <n v="15"/>
    <x v="0"/>
    <d v="2023-07-16T00:00:00"/>
    <n v="4"/>
    <n v="95"/>
    <n v="8"/>
    <x v="0"/>
    <n v="923772"/>
    <s v="Senior"/>
    <x v="0"/>
  </r>
  <r>
    <n v="1086"/>
    <s v="Rohan Jadhav"/>
    <x v="0"/>
    <n v="38"/>
    <x v="4"/>
    <s v="HR Executive"/>
    <n v="39595"/>
    <n v="6"/>
    <x v="3"/>
    <d v="2025-12-09T00:00:00"/>
    <n v="5"/>
    <n v="87"/>
    <n v="20"/>
    <x v="1"/>
    <n v="475140"/>
    <s v="Mid-Level"/>
    <x v="0"/>
  </r>
  <r>
    <n v="1087"/>
    <s v="Pooja Sharma"/>
    <x v="0"/>
    <n v="39"/>
    <x v="1"/>
    <s v="SEO Analyst"/>
    <n v="73772"/>
    <n v="12"/>
    <x v="3"/>
    <d v="2018-07-24T00:00:00"/>
    <n v="3"/>
    <n v="80"/>
    <n v="16"/>
    <x v="1"/>
    <n v="885264"/>
    <s v="Senior"/>
    <x v="1"/>
  </r>
  <r>
    <n v="1088"/>
    <s v="Anjali Gupta"/>
    <x v="1"/>
    <n v="24"/>
    <x v="4"/>
    <s v="HR Manager"/>
    <n v="57293"/>
    <n v="11"/>
    <x v="1"/>
    <d v="2024-09-16T00:00:00"/>
    <n v="2"/>
    <n v="94"/>
    <n v="2"/>
    <x v="0"/>
    <n v="687516"/>
    <s v="Senior"/>
    <x v="1"/>
  </r>
  <r>
    <n v="1089"/>
    <s v="Rahul Singh"/>
    <x v="0"/>
    <n v="27"/>
    <x v="4"/>
    <s v="HR Executive"/>
    <n v="54150"/>
    <n v="15"/>
    <x v="0"/>
    <d v="2018-04-06T00:00:00"/>
    <n v="3"/>
    <n v="91"/>
    <n v="2"/>
    <x v="0"/>
    <n v="649800"/>
    <s v="Senior"/>
    <x v="1"/>
  </r>
  <r>
    <n v="1090"/>
    <s v="Nikita Deshmukh"/>
    <x v="0"/>
    <n v="33"/>
    <x v="4"/>
    <s v="Recruiter"/>
    <n v="68136"/>
    <n v="3"/>
    <x v="4"/>
    <d v="2024-02-21T00:00:00"/>
    <n v="2"/>
    <n v="75"/>
    <n v="12"/>
    <x v="1"/>
    <n v="817632"/>
    <s v="Mid-Level"/>
    <x v="1"/>
  </r>
  <r>
    <n v="1091"/>
    <s v="Sneha Patil"/>
    <x v="1"/>
    <n v="34"/>
    <x v="0"/>
    <s v="Developer"/>
    <n v="51817"/>
    <n v="12"/>
    <x v="3"/>
    <d v="2019-12-15T00:00:00"/>
    <n v="5"/>
    <n v="77"/>
    <n v="10"/>
    <x v="0"/>
    <n v="621804"/>
    <s v="Senior"/>
    <x v="0"/>
  </r>
  <r>
    <n v="1092"/>
    <s v="Sonal Singh"/>
    <x v="0"/>
    <n v="23"/>
    <x v="0"/>
    <s v="Analyst"/>
    <n v="32911"/>
    <n v="6"/>
    <x v="2"/>
    <d v="2025-02-12T00:00:00"/>
    <n v="2"/>
    <n v="75"/>
    <n v="8"/>
    <x v="0"/>
    <n v="394932"/>
    <s v="Mid-Level"/>
    <x v="1"/>
  </r>
  <r>
    <n v="1093"/>
    <s v="Amit Sharma"/>
    <x v="0"/>
    <n v="38"/>
    <x v="1"/>
    <s v="Marketing Executive"/>
    <n v="62237"/>
    <n v="1"/>
    <x v="2"/>
    <d v="2020-03-14T00:00:00"/>
    <n v="5"/>
    <n v="92"/>
    <n v="7"/>
    <x v="0"/>
    <n v="746844"/>
    <s v="Junior"/>
    <x v="0"/>
  </r>
  <r>
    <n v="1094"/>
    <s v="Anjali Singh"/>
    <x v="0"/>
    <n v="45"/>
    <x v="2"/>
    <s v="Finance Analyst"/>
    <n v="43460"/>
    <n v="13"/>
    <x v="0"/>
    <d v="2020-07-01T00:00:00"/>
    <n v="1"/>
    <n v="90"/>
    <n v="25"/>
    <x v="1"/>
    <n v="521520"/>
    <s v="Senior"/>
    <x v="1"/>
  </r>
  <r>
    <n v="1095"/>
    <s v="Sonal More"/>
    <x v="1"/>
    <n v="37"/>
    <x v="2"/>
    <s v="Finance Analyst"/>
    <n v="54824"/>
    <n v="2"/>
    <x v="1"/>
    <d v="2022-03-05T00:00:00"/>
    <n v="1"/>
    <n v="82"/>
    <n v="19"/>
    <x v="0"/>
    <n v="657888"/>
    <s v="Junior"/>
    <x v="1"/>
  </r>
  <r>
    <n v="1096"/>
    <s v="Sonal Sharma"/>
    <x v="0"/>
    <n v="27"/>
    <x v="0"/>
    <s v="Team Lead"/>
    <n v="58562"/>
    <n v="9"/>
    <x v="4"/>
    <d v="2020-10-18T00:00:00"/>
    <n v="1"/>
    <n v="91"/>
    <n v="6"/>
    <x v="0"/>
    <n v="702744"/>
    <s v="Senior"/>
    <x v="1"/>
  </r>
  <r>
    <n v="1097"/>
    <s v="Rahul Gupta"/>
    <x v="1"/>
    <n v="40"/>
    <x v="2"/>
    <s v="Accountant"/>
    <n v="74227"/>
    <n v="12"/>
    <x v="4"/>
    <d v="2018-01-04T00:00:00"/>
    <n v="1"/>
    <n v="100"/>
    <n v="14"/>
    <x v="1"/>
    <n v="890724"/>
    <s v="Senior"/>
    <x v="1"/>
  </r>
  <r>
    <n v="1098"/>
    <s v="Neha More"/>
    <x v="0"/>
    <n v="31"/>
    <x v="1"/>
    <s v="Marketing Executive"/>
    <n v="32342"/>
    <n v="6"/>
    <x v="2"/>
    <d v="2022-02-23T00:00:00"/>
    <n v="2"/>
    <n v="80"/>
    <n v="6"/>
    <x v="1"/>
    <n v="388104"/>
    <s v="Mid-Level"/>
    <x v="1"/>
  </r>
  <r>
    <n v="1099"/>
    <s v="Akash Singh"/>
    <x v="0"/>
    <n v="42"/>
    <x v="1"/>
    <s v="SEO Analyst"/>
    <n v="63304"/>
    <n v="15"/>
    <x v="3"/>
    <d v="2021-08-27T00:00:00"/>
    <n v="3"/>
    <n v="88"/>
    <n v="24"/>
    <x v="0"/>
    <n v="759648"/>
    <s v="Senior"/>
    <x v="1"/>
  </r>
  <r>
    <n v="1100"/>
    <s v="Rohan Kumar"/>
    <x v="1"/>
    <n v="39"/>
    <x v="1"/>
    <s v="SEO Analyst"/>
    <n v="79623"/>
    <n v="14"/>
    <x v="4"/>
    <d v="2022-10-15T00:00:00"/>
    <n v="3"/>
    <n v="82"/>
    <n v="0"/>
    <x v="1"/>
    <n v="955476"/>
    <s v="Senior"/>
    <x v="1"/>
  </r>
  <r>
    <n v="1101"/>
    <s v="Manoj More"/>
    <x v="0"/>
    <n v="24"/>
    <x v="0"/>
    <s v="Team Lead"/>
    <n v="83049"/>
    <n v="11"/>
    <x v="3"/>
    <d v="2018-06-01T00:00:00"/>
    <n v="1"/>
    <n v="91"/>
    <n v="9"/>
    <x v="0"/>
    <n v="996588"/>
    <s v="Senior"/>
    <x v="1"/>
  </r>
  <r>
    <n v="1102"/>
    <s v="Akash More"/>
    <x v="0"/>
    <n v="41"/>
    <x v="3"/>
    <s v="Sales Manager"/>
    <n v="43875"/>
    <n v="14"/>
    <x v="1"/>
    <d v="2025-06-23T00:00:00"/>
    <n v="4"/>
    <n v="87"/>
    <n v="24"/>
    <x v="0"/>
    <n v="526500"/>
    <s v="Senior"/>
    <x v="0"/>
  </r>
  <r>
    <n v="1103"/>
    <s v="Akash Kumar"/>
    <x v="0"/>
    <n v="33"/>
    <x v="1"/>
    <s v="Marketing Executive"/>
    <n v="58550"/>
    <n v="12"/>
    <x v="0"/>
    <d v="2019-07-10T00:00:00"/>
    <n v="1"/>
    <n v="100"/>
    <n v="26"/>
    <x v="0"/>
    <n v="702600"/>
    <s v="Senior"/>
    <x v="1"/>
  </r>
  <r>
    <n v="1104"/>
    <s v="Pooja Deshmukh"/>
    <x v="0"/>
    <n v="35"/>
    <x v="1"/>
    <s v="SEO Analyst"/>
    <n v="51142"/>
    <n v="5"/>
    <x v="0"/>
    <d v="2024-07-11T00:00:00"/>
    <n v="4"/>
    <n v="100"/>
    <n v="22"/>
    <x v="0"/>
    <n v="613704"/>
    <s v="Mid-Level"/>
    <x v="0"/>
  </r>
  <r>
    <n v="1105"/>
    <s v="Vikas Gupta"/>
    <x v="0"/>
    <n v="28"/>
    <x v="3"/>
    <s v="Sales Manager"/>
    <n v="62107"/>
    <n v="4"/>
    <x v="2"/>
    <d v="2023-09-10T00:00:00"/>
    <n v="2"/>
    <n v="86"/>
    <n v="21"/>
    <x v="0"/>
    <n v="745284"/>
    <s v="Mid-Level"/>
    <x v="1"/>
  </r>
  <r>
    <n v="1106"/>
    <s v="Karan Patil"/>
    <x v="1"/>
    <n v="36"/>
    <x v="1"/>
    <s v="Marketing Executive"/>
    <n v="34295"/>
    <n v="2"/>
    <x v="4"/>
    <d v="2022-01-20T00:00:00"/>
    <n v="1"/>
    <n v="83"/>
    <n v="21"/>
    <x v="0"/>
    <n v="411540"/>
    <s v="Junior"/>
    <x v="1"/>
  </r>
  <r>
    <n v="1107"/>
    <s v="Neha Sharma"/>
    <x v="1"/>
    <n v="34"/>
    <x v="0"/>
    <s v="Team Lead"/>
    <n v="38556"/>
    <n v="13"/>
    <x v="1"/>
    <d v="2019-05-12T00:00:00"/>
    <n v="3"/>
    <n v="87"/>
    <n v="17"/>
    <x v="0"/>
    <n v="462672"/>
    <s v="Senior"/>
    <x v="1"/>
  </r>
  <r>
    <n v="1108"/>
    <s v="Akash Singh"/>
    <x v="1"/>
    <n v="30"/>
    <x v="0"/>
    <s v="Analyst"/>
    <n v="38554"/>
    <n v="15"/>
    <x v="3"/>
    <d v="2020-08-30T00:00:00"/>
    <n v="5"/>
    <n v="84"/>
    <n v="21"/>
    <x v="0"/>
    <n v="462648"/>
    <s v="Senior"/>
    <x v="0"/>
  </r>
  <r>
    <n v="1109"/>
    <s v="Rohan Singh"/>
    <x v="0"/>
    <n v="29"/>
    <x v="4"/>
    <s v="HR Manager"/>
    <n v="59192"/>
    <n v="13"/>
    <x v="4"/>
    <d v="2021-05-06T00:00:00"/>
    <n v="3"/>
    <n v="95"/>
    <n v="15"/>
    <x v="0"/>
    <n v="710304"/>
    <s v="Senior"/>
    <x v="1"/>
  </r>
  <r>
    <n v="1110"/>
    <s v="Anjali Kumar"/>
    <x v="0"/>
    <n v="23"/>
    <x v="2"/>
    <s v="Finance Analyst"/>
    <n v="36074"/>
    <n v="1"/>
    <x v="0"/>
    <d v="2023-02-02T00:00:00"/>
    <n v="4"/>
    <n v="81"/>
    <n v="15"/>
    <x v="0"/>
    <n v="432888"/>
    <s v="Junior"/>
    <x v="0"/>
  </r>
  <r>
    <n v="1111"/>
    <s v="Rahul Pawar"/>
    <x v="1"/>
    <n v="32"/>
    <x v="3"/>
    <s v="Sales Executive"/>
    <n v="51010"/>
    <n v="14"/>
    <x v="0"/>
    <d v="2023-10-04T00:00:00"/>
    <n v="3"/>
    <n v="97"/>
    <n v="19"/>
    <x v="1"/>
    <n v="612120"/>
    <s v="Senior"/>
    <x v="1"/>
  </r>
  <r>
    <n v="1112"/>
    <s v="Karan Patil"/>
    <x v="1"/>
    <n v="33"/>
    <x v="4"/>
    <s v="HR Manager"/>
    <n v="89951"/>
    <n v="5"/>
    <x v="3"/>
    <d v="2024-08-10T00:00:00"/>
    <n v="4"/>
    <n v="75"/>
    <n v="10"/>
    <x v="0"/>
    <n v="1079412"/>
    <s v="Mid-Level"/>
    <x v="0"/>
  </r>
  <r>
    <n v="1113"/>
    <s v="Priya Pawar"/>
    <x v="1"/>
    <n v="38"/>
    <x v="2"/>
    <s v="Accountant"/>
    <n v="68590"/>
    <n v="1"/>
    <x v="4"/>
    <d v="2020-02-10T00:00:00"/>
    <n v="5"/>
    <n v="78"/>
    <n v="13"/>
    <x v="1"/>
    <n v="823080"/>
    <s v="Junior"/>
    <x v="0"/>
  </r>
  <r>
    <n v="1114"/>
    <s v="Vikas Patil"/>
    <x v="0"/>
    <n v="22"/>
    <x v="0"/>
    <s v="Developer"/>
    <n v="39901"/>
    <n v="4"/>
    <x v="4"/>
    <d v="2025-08-02T00:00:00"/>
    <n v="4"/>
    <n v="95"/>
    <n v="20"/>
    <x v="1"/>
    <n v="478812"/>
    <s v="Mid-Level"/>
    <x v="0"/>
  </r>
  <r>
    <n v="1115"/>
    <s v="Anjali Deshmukh"/>
    <x v="0"/>
    <n v="28"/>
    <x v="1"/>
    <s v="Marketing Executive"/>
    <n v="76123"/>
    <n v="2"/>
    <x v="0"/>
    <d v="2018-08-02T00:00:00"/>
    <n v="4"/>
    <n v="91"/>
    <n v="15"/>
    <x v="0"/>
    <n v="913476"/>
    <s v="Junior"/>
    <x v="0"/>
  </r>
  <r>
    <n v="1116"/>
    <s v="Pooja More"/>
    <x v="0"/>
    <n v="34"/>
    <x v="0"/>
    <s v="Team Lead"/>
    <n v="59320"/>
    <n v="9"/>
    <x v="4"/>
    <d v="2020-09-05T00:00:00"/>
    <n v="1"/>
    <n v="92"/>
    <n v="18"/>
    <x v="0"/>
    <n v="711840"/>
    <s v="Senior"/>
    <x v="1"/>
  </r>
  <r>
    <n v="1117"/>
    <s v="Priya Singh"/>
    <x v="1"/>
    <n v="24"/>
    <x v="0"/>
    <s v="Analyst"/>
    <n v="66704"/>
    <n v="3"/>
    <x v="2"/>
    <d v="2021-08-20T00:00:00"/>
    <n v="4"/>
    <n v="77"/>
    <n v="8"/>
    <x v="0"/>
    <n v="800448"/>
    <s v="Mid-Level"/>
    <x v="0"/>
  </r>
  <r>
    <n v="1118"/>
    <s v="Sonal Gupta"/>
    <x v="1"/>
    <n v="38"/>
    <x v="2"/>
    <s v="Accountant"/>
    <n v="60427"/>
    <n v="9"/>
    <x v="0"/>
    <d v="2022-03-31T00:00:00"/>
    <n v="4"/>
    <n v="100"/>
    <n v="14"/>
    <x v="1"/>
    <n v="725124"/>
    <s v="Senior"/>
    <x v="0"/>
  </r>
  <r>
    <n v="1119"/>
    <s v="Vikas Deshmukh"/>
    <x v="1"/>
    <n v="39"/>
    <x v="0"/>
    <s v="Analyst"/>
    <n v="70875"/>
    <n v="5"/>
    <x v="4"/>
    <d v="2018-05-03T00:00:00"/>
    <n v="2"/>
    <n v="89"/>
    <n v="20"/>
    <x v="1"/>
    <n v="850500"/>
    <s v="Mid-Level"/>
    <x v="1"/>
  </r>
  <r>
    <n v="1120"/>
    <s v="Pooja Patil"/>
    <x v="1"/>
    <n v="28"/>
    <x v="4"/>
    <s v="Recruiter"/>
    <n v="79090"/>
    <n v="13"/>
    <x v="3"/>
    <d v="2019-12-13T00:00:00"/>
    <n v="1"/>
    <n v="85"/>
    <n v="23"/>
    <x v="0"/>
    <n v="949080"/>
    <s v="Senior"/>
    <x v="1"/>
  </r>
  <r>
    <n v="1121"/>
    <s v="Priya Joshi"/>
    <x v="0"/>
    <n v="32"/>
    <x v="4"/>
    <s v="HR Executive"/>
    <n v="84620"/>
    <n v="5"/>
    <x v="4"/>
    <d v="2018-11-17T00:00:00"/>
    <n v="5"/>
    <n v="82"/>
    <n v="16"/>
    <x v="0"/>
    <n v="1015440"/>
    <s v="Mid-Level"/>
    <x v="0"/>
  </r>
  <r>
    <n v="1122"/>
    <s v="Amit Pawar"/>
    <x v="1"/>
    <n v="36"/>
    <x v="0"/>
    <s v="Team Lead"/>
    <n v="68371"/>
    <n v="10"/>
    <x v="1"/>
    <d v="2025-01-14T00:00:00"/>
    <n v="1"/>
    <n v="100"/>
    <n v="24"/>
    <x v="1"/>
    <n v="820452"/>
    <s v="Senior"/>
    <x v="1"/>
  </r>
  <r>
    <n v="1123"/>
    <s v="Amit Singh"/>
    <x v="1"/>
    <n v="29"/>
    <x v="0"/>
    <s v="Analyst"/>
    <n v="58384"/>
    <n v="5"/>
    <x v="3"/>
    <d v="2021-03-10T00:00:00"/>
    <n v="5"/>
    <n v="79"/>
    <n v="23"/>
    <x v="0"/>
    <n v="700608"/>
    <s v="Mid-Level"/>
    <x v="0"/>
  </r>
  <r>
    <n v="1124"/>
    <s v="Sneha Patil"/>
    <x v="0"/>
    <n v="25"/>
    <x v="4"/>
    <s v="HR Manager"/>
    <n v="86811"/>
    <n v="1"/>
    <x v="2"/>
    <d v="2021-08-25T00:00:00"/>
    <n v="5"/>
    <n v="97"/>
    <n v="23"/>
    <x v="0"/>
    <n v="1041732"/>
    <s v="Junior"/>
    <x v="0"/>
  </r>
  <r>
    <n v="1125"/>
    <s v="Rohan Patil"/>
    <x v="0"/>
    <n v="32"/>
    <x v="2"/>
    <s v="Finance Analyst"/>
    <n v="85134"/>
    <n v="3"/>
    <x v="0"/>
    <d v="2025-07-26T00:00:00"/>
    <n v="2"/>
    <n v="81"/>
    <n v="18"/>
    <x v="0"/>
    <n v="1021608"/>
    <s v="Mid-Level"/>
    <x v="1"/>
  </r>
  <r>
    <n v="1126"/>
    <s v="Sonal Joshi"/>
    <x v="1"/>
    <n v="33"/>
    <x v="2"/>
    <s v="Finance Analyst"/>
    <n v="88444"/>
    <n v="10"/>
    <x v="0"/>
    <d v="2018-11-06T00:00:00"/>
    <n v="2"/>
    <n v="91"/>
    <n v="0"/>
    <x v="1"/>
    <n v="1061328"/>
    <s v="Senior"/>
    <x v="1"/>
  </r>
  <r>
    <n v="1127"/>
    <s v="Karan Kumar"/>
    <x v="0"/>
    <n v="41"/>
    <x v="2"/>
    <s v="Accountant"/>
    <n v="57171"/>
    <n v="14"/>
    <x v="3"/>
    <d v="2026-03-17T00:00:00"/>
    <n v="1"/>
    <n v="87"/>
    <n v="15"/>
    <x v="0"/>
    <n v="686052"/>
    <s v="Senior"/>
    <x v="1"/>
  </r>
  <r>
    <n v="1128"/>
    <s v="Vikas Singh"/>
    <x v="1"/>
    <n v="30"/>
    <x v="4"/>
    <s v="Recruiter"/>
    <n v="68148"/>
    <n v="2"/>
    <x v="1"/>
    <d v="2018-03-08T00:00:00"/>
    <n v="1"/>
    <n v="90"/>
    <n v="22"/>
    <x v="0"/>
    <n v="817776"/>
    <s v="Junior"/>
    <x v="1"/>
  </r>
  <r>
    <n v="1129"/>
    <s v="Neha Joshi"/>
    <x v="0"/>
    <n v="43"/>
    <x v="4"/>
    <s v="HR Manager"/>
    <n v="58173"/>
    <n v="2"/>
    <x v="1"/>
    <d v="2023-08-15T00:00:00"/>
    <n v="3"/>
    <n v="91"/>
    <n v="4"/>
    <x v="1"/>
    <n v="698076"/>
    <s v="Junior"/>
    <x v="1"/>
  </r>
  <r>
    <n v="1130"/>
    <s v="Akash Sharma"/>
    <x v="0"/>
    <n v="35"/>
    <x v="0"/>
    <s v="Developer"/>
    <n v="51931"/>
    <n v="2"/>
    <x v="1"/>
    <d v="2024-07-23T00:00:00"/>
    <n v="5"/>
    <n v="95"/>
    <n v="18"/>
    <x v="0"/>
    <n v="623172"/>
    <s v="Junior"/>
    <x v="0"/>
  </r>
  <r>
    <n v="1131"/>
    <s v="Sonal Jadhav"/>
    <x v="0"/>
    <n v="34"/>
    <x v="3"/>
    <s v="Sales Executive"/>
    <n v="51152"/>
    <n v="4"/>
    <x v="1"/>
    <d v="2024-01-29T00:00:00"/>
    <n v="5"/>
    <n v="96"/>
    <n v="0"/>
    <x v="0"/>
    <n v="613824"/>
    <s v="Mid-Level"/>
    <x v="0"/>
  </r>
  <r>
    <n v="1132"/>
    <s v="Rahul Deshmukh"/>
    <x v="1"/>
    <n v="40"/>
    <x v="1"/>
    <s v="Marketing Executive"/>
    <n v="68836"/>
    <n v="9"/>
    <x v="3"/>
    <d v="2021-10-21T00:00:00"/>
    <n v="4"/>
    <n v="76"/>
    <n v="13"/>
    <x v="0"/>
    <n v="826032"/>
    <s v="Senior"/>
    <x v="0"/>
  </r>
  <r>
    <n v="1133"/>
    <s v="Neha Patil"/>
    <x v="1"/>
    <n v="27"/>
    <x v="3"/>
    <s v="Sales Executive"/>
    <n v="40903"/>
    <n v="7"/>
    <x v="0"/>
    <d v="2022-06-22T00:00:00"/>
    <n v="3"/>
    <n v="95"/>
    <n v="9"/>
    <x v="1"/>
    <n v="490836"/>
    <s v="Senior"/>
    <x v="1"/>
  </r>
  <r>
    <n v="1134"/>
    <s v="Rohan Pawar"/>
    <x v="0"/>
    <n v="30"/>
    <x v="3"/>
    <s v="Sales Executive"/>
    <n v="88176"/>
    <n v="6"/>
    <x v="0"/>
    <d v="2024-01-08T00:00:00"/>
    <n v="3"/>
    <n v="95"/>
    <n v="16"/>
    <x v="0"/>
    <n v="1058112"/>
    <s v="Mid-Level"/>
    <x v="1"/>
  </r>
  <r>
    <n v="1135"/>
    <s v="Priya Singh"/>
    <x v="1"/>
    <n v="41"/>
    <x v="1"/>
    <s v="Marketing Executive"/>
    <n v="34735"/>
    <n v="6"/>
    <x v="2"/>
    <d v="2019-12-26T00:00:00"/>
    <n v="2"/>
    <n v="96"/>
    <n v="20"/>
    <x v="0"/>
    <n v="416820"/>
    <s v="Mid-Level"/>
    <x v="1"/>
  </r>
  <r>
    <n v="1136"/>
    <s v="Vikas Pawar"/>
    <x v="1"/>
    <n v="38"/>
    <x v="0"/>
    <s v="Team Lead"/>
    <n v="36077"/>
    <n v="8"/>
    <x v="2"/>
    <d v="2018-08-17T00:00:00"/>
    <n v="4"/>
    <n v="92"/>
    <n v="3"/>
    <x v="0"/>
    <n v="432924"/>
    <s v="Senior"/>
    <x v="0"/>
  </r>
  <r>
    <n v="1137"/>
    <s v="Ritu Joshi"/>
    <x v="0"/>
    <n v="29"/>
    <x v="3"/>
    <s v="Sales Executive"/>
    <n v="82635"/>
    <n v="10"/>
    <x v="3"/>
    <d v="2025-07-18T00:00:00"/>
    <n v="4"/>
    <n v="92"/>
    <n v="9"/>
    <x v="0"/>
    <n v="991620"/>
    <s v="Senior"/>
    <x v="0"/>
  </r>
  <r>
    <n v="1138"/>
    <s v="Anjali Patil"/>
    <x v="0"/>
    <n v="32"/>
    <x v="1"/>
    <s v="Marketing Executive"/>
    <n v="60796"/>
    <n v="1"/>
    <x v="3"/>
    <d v="2018-02-06T00:00:00"/>
    <n v="3"/>
    <n v="83"/>
    <n v="28"/>
    <x v="1"/>
    <n v="729552"/>
    <s v="Junior"/>
    <x v="1"/>
  </r>
  <r>
    <n v="1139"/>
    <s v="Akash Jadhav"/>
    <x v="1"/>
    <n v="36"/>
    <x v="1"/>
    <s v="SEO Analyst"/>
    <n v="72282"/>
    <n v="12"/>
    <x v="4"/>
    <d v="2025-06-13T00:00:00"/>
    <n v="4"/>
    <n v="99"/>
    <n v="15"/>
    <x v="0"/>
    <n v="867384"/>
    <s v="Senior"/>
    <x v="0"/>
  </r>
  <r>
    <n v="1140"/>
    <s v="Rahul Pawar"/>
    <x v="1"/>
    <n v="28"/>
    <x v="0"/>
    <s v="Team Lead"/>
    <n v="84911"/>
    <n v="7"/>
    <x v="4"/>
    <d v="2020-03-12T00:00:00"/>
    <n v="4"/>
    <n v="93"/>
    <n v="14"/>
    <x v="0"/>
    <n v="1018932"/>
    <s v="Senior"/>
    <x v="0"/>
  </r>
  <r>
    <n v="1141"/>
    <s v="Anjali Jadhav"/>
    <x v="1"/>
    <n v="45"/>
    <x v="1"/>
    <s v="SEO Analyst"/>
    <n v="47302"/>
    <n v="15"/>
    <x v="2"/>
    <d v="2022-11-01T00:00:00"/>
    <n v="4"/>
    <n v="92"/>
    <n v="17"/>
    <x v="0"/>
    <n v="567624"/>
    <s v="Senior"/>
    <x v="0"/>
  </r>
  <r>
    <n v="1142"/>
    <s v="Karan Pawar"/>
    <x v="0"/>
    <n v="45"/>
    <x v="3"/>
    <s v="Sales Manager"/>
    <n v="56913"/>
    <n v="15"/>
    <x v="3"/>
    <d v="2024-01-23T00:00:00"/>
    <n v="3"/>
    <n v="99"/>
    <n v="18"/>
    <x v="0"/>
    <n v="682956"/>
    <s v="Senior"/>
    <x v="1"/>
  </r>
  <r>
    <n v="1143"/>
    <s v="Neha Pawar"/>
    <x v="0"/>
    <n v="27"/>
    <x v="4"/>
    <s v="HR Executive"/>
    <n v="48248"/>
    <n v="6"/>
    <x v="2"/>
    <d v="2025-10-28T00:00:00"/>
    <n v="4"/>
    <n v="88"/>
    <n v="13"/>
    <x v="0"/>
    <n v="578976"/>
    <s v="Mid-Level"/>
    <x v="0"/>
  </r>
  <r>
    <n v="1144"/>
    <s v="Sneha Joshi"/>
    <x v="0"/>
    <n v="26"/>
    <x v="4"/>
    <s v="HR Executive"/>
    <n v="37992"/>
    <n v="1"/>
    <x v="0"/>
    <d v="2022-11-13T00:00:00"/>
    <n v="5"/>
    <n v="96"/>
    <n v="15"/>
    <x v="0"/>
    <n v="455904"/>
    <s v="Junior"/>
    <x v="0"/>
  </r>
  <r>
    <n v="1145"/>
    <s v="Sneha Kumar"/>
    <x v="0"/>
    <n v="34"/>
    <x v="2"/>
    <s v="Finance Analyst"/>
    <n v="57384"/>
    <n v="2"/>
    <x v="2"/>
    <d v="2019-10-02T00:00:00"/>
    <n v="2"/>
    <n v="76"/>
    <n v="2"/>
    <x v="1"/>
    <n v="688608"/>
    <s v="Junior"/>
    <x v="1"/>
  </r>
  <r>
    <n v="1146"/>
    <s v="Akash Joshi"/>
    <x v="0"/>
    <n v="43"/>
    <x v="3"/>
    <s v="Sales Executive"/>
    <n v="55951"/>
    <n v="7"/>
    <x v="4"/>
    <d v="2018-11-10T00:00:00"/>
    <n v="1"/>
    <n v="75"/>
    <n v="8"/>
    <x v="1"/>
    <n v="671412"/>
    <s v="Senior"/>
    <x v="1"/>
  </r>
  <r>
    <n v="1147"/>
    <s v="Rahul More"/>
    <x v="0"/>
    <n v="33"/>
    <x v="1"/>
    <s v="Marketing Executive"/>
    <n v="30967"/>
    <n v="5"/>
    <x v="1"/>
    <d v="2024-10-17T00:00:00"/>
    <n v="2"/>
    <n v="80"/>
    <n v="0"/>
    <x v="1"/>
    <n v="371604"/>
    <s v="Mid-Level"/>
    <x v="1"/>
  </r>
  <r>
    <n v="1148"/>
    <s v="Rohan Sharma"/>
    <x v="1"/>
    <n v="29"/>
    <x v="0"/>
    <s v="Team Lead"/>
    <n v="32012"/>
    <n v="15"/>
    <x v="4"/>
    <d v="2022-04-30T00:00:00"/>
    <n v="3"/>
    <n v="89"/>
    <n v="14"/>
    <x v="1"/>
    <n v="384144"/>
    <s v="Senior"/>
    <x v="1"/>
  </r>
  <r>
    <n v="1149"/>
    <s v="Karan Pawar"/>
    <x v="1"/>
    <n v="26"/>
    <x v="2"/>
    <s v="Finance Analyst"/>
    <n v="43236"/>
    <n v="10"/>
    <x v="4"/>
    <d v="2021-05-13T00:00:00"/>
    <n v="2"/>
    <n v="79"/>
    <n v="27"/>
    <x v="0"/>
    <n v="518832"/>
    <s v="Senior"/>
    <x v="1"/>
  </r>
  <r>
    <n v="1150"/>
    <s v="Karan Deshmukh"/>
    <x v="0"/>
    <n v="38"/>
    <x v="1"/>
    <s v="SEO Analyst"/>
    <n v="45835"/>
    <n v="10"/>
    <x v="0"/>
    <d v="2021-04-01T00:00:00"/>
    <n v="2"/>
    <n v="75"/>
    <n v="21"/>
    <x v="0"/>
    <n v="550020"/>
    <s v="Senior"/>
    <x v="1"/>
  </r>
  <r>
    <n v="1151"/>
    <s v="Nikita Joshi"/>
    <x v="0"/>
    <n v="33"/>
    <x v="4"/>
    <s v="Recruiter"/>
    <n v="35098"/>
    <n v="9"/>
    <x v="3"/>
    <d v="2021-05-08T00:00:00"/>
    <n v="3"/>
    <n v="78"/>
    <n v="26"/>
    <x v="0"/>
    <n v="421176"/>
    <s v="Senior"/>
    <x v="1"/>
  </r>
  <r>
    <n v="1152"/>
    <s v="Priya Kumar"/>
    <x v="0"/>
    <n v="38"/>
    <x v="3"/>
    <s v="Sales Executive"/>
    <n v="44731"/>
    <n v="12"/>
    <x v="2"/>
    <d v="2020-04-28T00:00:00"/>
    <n v="2"/>
    <n v="99"/>
    <n v="25"/>
    <x v="0"/>
    <n v="536772"/>
    <s v="Senior"/>
    <x v="1"/>
  </r>
  <r>
    <n v="1153"/>
    <s v="Sneha Sharma"/>
    <x v="0"/>
    <n v="25"/>
    <x v="1"/>
    <s v="SEO Analyst"/>
    <n v="37935"/>
    <n v="1"/>
    <x v="3"/>
    <d v="2022-10-30T00:00:00"/>
    <n v="4"/>
    <n v="79"/>
    <n v="27"/>
    <x v="0"/>
    <n v="455220"/>
    <s v="Junior"/>
    <x v="0"/>
  </r>
  <r>
    <n v="1154"/>
    <s v="Manoj Singh"/>
    <x v="1"/>
    <n v="36"/>
    <x v="0"/>
    <s v="Developer"/>
    <n v="69675"/>
    <n v="6"/>
    <x v="4"/>
    <d v="2022-06-14T00:00:00"/>
    <n v="3"/>
    <n v="89"/>
    <n v="10"/>
    <x v="0"/>
    <n v="836100"/>
    <s v="Mid-Level"/>
    <x v="1"/>
  </r>
  <r>
    <n v="1155"/>
    <s v="Sonal Sharma"/>
    <x v="0"/>
    <n v="34"/>
    <x v="2"/>
    <s v="Accountant"/>
    <n v="87727"/>
    <n v="14"/>
    <x v="4"/>
    <d v="2023-11-10T00:00:00"/>
    <n v="3"/>
    <n v="95"/>
    <n v="26"/>
    <x v="0"/>
    <n v="1052724"/>
    <s v="Senior"/>
    <x v="1"/>
  </r>
  <r>
    <n v="1156"/>
    <s v="Nikita Singh"/>
    <x v="0"/>
    <n v="40"/>
    <x v="4"/>
    <s v="Recruiter"/>
    <n v="37420"/>
    <n v="2"/>
    <x v="2"/>
    <d v="2023-04-03T00:00:00"/>
    <n v="3"/>
    <n v="80"/>
    <n v="30"/>
    <x v="0"/>
    <n v="449040"/>
    <s v="Junior"/>
    <x v="1"/>
  </r>
  <r>
    <n v="1157"/>
    <s v="Pooja Jadhav"/>
    <x v="1"/>
    <n v="37"/>
    <x v="1"/>
    <s v="Marketing Executive"/>
    <n v="47828"/>
    <n v="11"/>
    <x v="4"/>
    <d v="2022-06-19T00:00:00"/>
    <n v="4"/>
    <n v="91"/>
    <n v="4"/>
    <x v="0"/>
    <n v="573936"/>
    <s v="Senior"/>
    <x v="0"/>
  </r>
  <r>
    <n v="1158"/>
    <s v="Rahul More"/>
    <x v="0"/>
    <n v="30"/>
    <x v="4"/>
    <s v="Recruiter"/>
    <n v="44584"/>
    <n v="5"/>
    <x v="1"/>
    <d v="2023-04-12T00:00:00"/>
    <n v="1"/>
    <n v="75"/>
    <n v="30"/>
    <x v="0"/>
    <n v="535008"/>
    <s v="Mid-Level"/>
    <x v="1"/>
  </r>
  <r>
    <n v="1159"/>
    <s v="Rohan Joshi"/>
    <x v="1"/>
    <n v="25"/>
    <x v="3"/>
    <s v="Sales Executive"/>
    <n v="66354"/>
    <n v="2"/>
    <x v="1"/>
    <d v="2020-10-15T00:00:00"/>
    <n v="4"/>
    <n v="86"/>
    <n v="12"/>
    <x v="0"/>
    <n v="796248"/>
    <s v="Junior"/>
    <x v="0"/>
  </r>
  <r>
    <n v="1160"/>
    <s v="Priya Jadhav"/>
    <x v="0"/>
    <n v="45"/>
    <x v="1"/>
    <s v="SEO Analyst"/>
    <n v="75530"/>
    <n v="3"/>
    <x v="3"/>
    <d v="2025-12-04T00:00:00"/>
    <n v="2"/>
    <n v="83"/>
    <n v="24"/>
    <x v="1"/>
    <n v="906360"/>
    <s v="Mid-Level"/>
    <x v="1"/>
  </r>
  <r>
    <n v="1161"/>
    <s v="Anjali Kumar"/>
    <x v="0"/>
    <n v="37"/>
    <x v="4"/>
    <s v="HR Executive"/>
    <n v="42800"/>
    <n v="13"/>
    <x v="0"/>
    <d v="2022-11-12T00:00:00"/>
    <n v="4"/>
    <n v="79"/>
    <n v="24"/>
    <x v="0"/>
    <n v="513600"/>
    <s v="Senior"/>
    <x v="0"/>
  </r>
  <r>
    <n v="1162"/>
    <s v="Priya Pawar"/>
    <x v="1"/>
    <n v="39"/>
    <x v="3"/>
    <s v="Sales Executive"/>
    <n v="72189"/>
    <n v="4"/>
    <x v="0"/>
    <d v="2019-05-08T00:00:00"/>
    <n v="3"/>
    <n v="88"/>
    <n v="18"/>
    <x v="0"/>
    <n v="866268"/>
    <s v="Mid-Level"/>
    <x v="1"/>
  </r>
  <r>
    <n v="1163"/>
    <s v="Sneha Singh"/>
    <x v="1"/>
    <n v="43"/>
    <x v="3"/>
    <s v="Sales Manager"/>
    <n v="66213"/>
    <n v="6"/>
    <x v="2"/>
    <d v="2019-01-07T00:00:00"/>
    <n v="1"/>
    <n v="78"/>
    <n v="5"/>
    <x v="0"/>
    <n v="794556"/>
    <s v="Mid-Level"/>
    <x v="1"/>
  </r>
  <r>
    <n v="1164"/>
    <s v="Sonal Jadhav"/>
    <x v="0"/>
    <n v="32"/>
    <x v="0"/>
    <s v="Analyst"/>
    <n v="48187"/>
    <n v="12"/>
    <x v="4"/>
    <d v="2021-05-01T00:00:00"/>
    <n v="5"/>
    <n v="92"/>
    <n v="13"/>
    <x v="0"/>
    <n v="578244"/>
    <s v="Senior"/>
    <x v="0"/>
  </r>
  <r>
    <n v="1165"/>
    <s v="Rahul Patil"/>
    <x v="1"/>
    <n v="34"/>
    <x v="1"/>
    <s v="Marketing Executive"/>
    <n v="69734"/>
    <n v="12"/>
    <x v="3"/>
    <d v="2024-03-27T00:00:00"/>
    <n v="1"/>
    <n v="93"/>
    <n v="26"/>
    <x v="0"/>
    <n v="836808"/>
    <s v="Senior"/>
    <x v="1"/>
  </r>
  <r>
    <n v="1166"/>
    <s v="Vikas Kumar"/>
    <x v="1"/>
    <n v="24"/>
    <x v="2"/>
    <s v="Finance Analyst"/>
    <n v="45954"/>
    <n v="12"/>
    <x v="0"/>
    <d v="2021-11-14T00:00:00"/>
    <n v="5"/>
    <n v="96"/>
    <n v="17"/>
    <x v="1"/>
    <n v="551448"/>
    <s v="Senior"/>
    <x v="0"/>
  </r>
  <r>
    <n v="1167"/>
    <s v="Amit More"/>
    <x v="1"/>
    <n v="42"/>
    <x v="0"/>
    <s v="Team Lead"/>
    <n v="86614"/>
    <n v="10"/>
    <x v="1"/>
    <d v="2024-07-22T00:00:00"/>
    <n v="4"/>
    <n v="86"/>
    <n v="9"/>
    <x v="0"/>
    <n v="1039368"/>
    <s v="Senior"/>
    <x v="0"/>
  </r>
  <r>
    <n v="1168"/>
    <s v="Rohan Sharma"/>
    <x v="0"/>
    <n v="27"/>
    <x v="2"/>
    <s v="Finance Analyst"/>
    <n v="54590"/>
    <n v="11"/>
    <x v="1"/>
    <d v="2025-03-31T00:00:00"/>
    <n v="2"/>
    <n v="100"/>
    <n v="1"/>
    <x v="0"/>
    <n v="655080"/>
    <s v="Senior"/>
    <x v="1"/>
  </r>
  <r>
    <n v="1169"/>
    <s v="Pooja Deshmukh"/>
    <x v="1"/>
    <n v="31"/>
    <x v="4"/>
    <s v="HR Executive"/>
    <n v="52224"/>
    <n v="1"/>
    <x v="1"/>
    <d v="2018-06-30T00:00:00"/>
    <n v="3"/>
    <n v="86"/>
    <n v="0"/>
    <x v="0"/>
    <n v="626688"/>
    <s v="Junior"/>
    <x v="1"/>
  </r>
  <r>
    <n v="1170"/>
    <s v="Ritu Joshi"/>
    <x v="1"/>
    <n v="39"/>
    <x v="3"/>
    <s v="Sales Manager"/>
    <n v="74725"/>
    <n v="6"/>
    <x v="0"/>
    <d v="2025-01-24T00:00:00"/>
    <n v="1"/>
    <n v="100"/>
    <n v="2"/>
    <x v="0"/>
    <n v="896700"/>
    <s v="Mid-Level"/>
    <x v="1"/>
  </r>
  <r>
    <n v="1171"/>
    <s v="Neha Jadhav"/>
    <x v="0"/>
    <n v="38"/>
    <x v="3"/>
    <s v="Sales Executive"/>
    <n v="48316"/>
    <n v="13"/>
    <x v="4"/>
    <d v="2023-04-20T00:00:00"/>
    <n v="4"/>
    <n v="81"/>
    <n v="24"/>
    <x v="0"/>
    <n v="579792"/>
    <s v="Senior"/>
    <x v="0"/>
  </r>
  <r>
    <n v="1172"/>
    <s v="Neha Jadhav"/>
    <x v="0"/>
    <n v="41"/>
    <x v="1"/>
    <s v="SEO Analyst"/>
    <n v="50495"/>
    <n v="1"/>
    <x v="4"/>
    <d v="2018-06-27T00:00:00"/>
    <n v="3"/>
    <n v="77"/>
    <n v="5"/>
    <x v="0"/>
    <n v="605940"/>
    <s v="Junior"/>
    <x v="1"/>
  </r>
  <r>
    <n v="1173"/>
    <s v="Karan Joshi"/>
    <x v="1"/>
    <n v="24"/>
    <x v="4"/>
    <s v="HR Manager"/>
    <n v="80490"/>
    <n v="9"/>
    <x v="3"/>
    <d v="2018-07-29T00:00:00"/>
    <n v="5"/>
    <n v="92"/>
    <n v="24"/>
    <x v="0"/>
    <n v="965880"/>
    <s v="Senior"/>
    <x v="0"/>
  </r>
  <r>
    <n v="1174"/>
    <s v="Sneha Gupta"/>
    <x v="0"/>
    <n v="25"/>
    <x v="1"/>
    <s v="SEO Analyst"/>
    <n v="51706"/>
    <n v="14"/>
    <x v="3"/>
    <d v="2021-02-15T00:00:00"/>
    <n v="1"/>
    <n v="83"/>
    <n v="3"/>
    <x v="0"/>
    <n v="620472"/>
    <s v="Senior"/>
    <x v="1"/>
  </r>
  <r>
    <n v="1175"/>
    <s v="Rahul Gupta"/>
    <x v="0"/>
    <n v="32"/>
    <x v="3"/>
    <s v="Sales Executive"/>
    <n v="32468"/>
    <n v="2"/>
    <x v="0"/>
    <d v="2022-02-18T00:00:00"/>
    <n v="1"/>
    <n v="90"/>
    <n v="0"/>
    <x v="0"/>
    <n v="389616"/>
    <s v="Junior"/>
    <x v="1"/>
  </r>
  <r>
    <n v="1176"/>
    <s v="Pooja Pawar"/>
    <x v="0"/>
    <n v="45"/>
    <x v="2"/>
    <s v="Accountant"/>
    <n v="30491"/>
    <n v="12"/>
    <x v="1"/>
    <d v="2023-08-28T00:00:00"/>
    <n v="4"/>
    <n v="79"/>
    <n v="15"/>
    <x v="1"/>
    <n v="365892"/>
    <s v="Senior"/>
    <x v="0"/>
  </r>
  <r>
    <n v="1177"/>
    <s v="Nikita Pawar"/>
    <x v="0"/>
    <n v="35"/>
    <x v="3"/>
    <s v="Sales Manager"/>
    <n v="39305"/>
    <n v="11"/>
    <x v="2"/>
    <d v="2022-11-06T00:00:00"/>
    <n v="4"/>
    <n v="84"/>
    <n v="22"/>
    <x v="0"/>
    <n v="471660"/>
    <s v="Senior"/>
    <x v="0"/>
  </r>
  <r>
    <n v="1178"/>
    <s v="Rahul Singh"/>
    <x v="1"/>
    <n v="45"/>
    <x v="0"/>
    <s v="Analyst"/>
    <n v="76361"/>
    <n v="7"/>
    <x v="4"/>
    <d v="2026-03-10T00:00:00"/>
    <n v="2"/>
    <n v="96"/>
    <n v="28"/>
    <x v="0"/>
    <n v="916332"/>
    <s v="Senior"/>
    <x v="1"/>
  </r>
  <r>
    <n v="1179"/>
    <s v="Rohan Deshmukh"/>
    <x v="1"/>
    <n v="39"/>
    <x v="3"/>
    <s v="Sales Manager"/>
    <n v="34212"/>
    <n v="11"/>
    <x v="4"/>
    <d v="2020-12-16T00:00:00"/>
    <n v="2"/>
    <n v="87"/>
    <n v="11"/>
    <x v="0"/>
    <n v="410544"/>
    <s v="Senior"/>
    <x v="1"/>
  </r>
  <r>
    <n v="1180"/>
    <s v="Karan Sharma"/>
    <x v="0"/>
    <n v="24"/>
    <x v="1"/>
    <s v="SEO Analyst"/>
    <n v="76909"/>
    <n v="10"/>
    <x v="4"/>
    <d v="2019-07-28T00:00:00"/>
    <n v="3"/>
    <n v="95"/>
    <n v="6"/>
    <x v="0"/>
    <n v="922908"/>
    <s v="Senior"/>
    <x v="1"/>
  </r>
  <r>
    <n v="1181"/>
    <s v="Rahul Pawar"/>
    <x v="1"/>
    <n v="42"/>
    <x v="1"/>
    <s v="SEO Analyst"/>
    <n v="68759"/>
    <n v="7"/>
    <x v="3"/>
    <d v="2020-12-16T00:00:00"/>
    <n v="5"/>
    <n v="88"/>
    <n v="8"/>
    <x v="0"/>
    <n v="825108"/>
    <s v="Senior"/>
    <x v="0"/>
  </r>
  <r>
    <n v="1182"/>
    <s v="Amit Sharma"/>
    <x v="0"/>
    <n v="29"/>
    <x v="3"/>
    <s v="Sales Executive"/>
    <n v="70631"/>
    <n v="12"/>
    <x v="1"/>
    <d v="2023-09-08T00:00:00"/>
    <n v="2"/>
    <n v="78"/>
    <n v="0"/>
    <x v="0"/>
    <n v="847572"/>
    <s v="Senior"/>
    <x v="1"/>
  </r>
  <r>
    <n v="1183"/>
    <s v="Ritu Pawar"/>
    <x v="1"/>
    <n v="23"/>
    <x v="1"/>
    <s v="Marketing Executive"/>
    <n v="57065"/>
    <n v="6"/>
    <x v="0"/>
    <d v="2023-07-26T00:00:00"/>
    <n v="2"/>
    <n v="100"/>
    <n v="21"/>
    <x v="0"/>
    <n v="684780"/>
    <s v="Mid-Level"/>
    <x v="1"/>
  </r>
  <r>
    <n v="1184"/>
    <s v="Nikita Gupta"/>
    <x v="1"/>
    <n v="45"/>
    <x v="4"/>
    <s v="HR Executive"/>
    <n v="86881"/>
    <n v="9"/>
    <x v="4"/>
    <d v="2018-06-09T00:00:00"/>
    <n v="3"/>
    <n v="76"/>
    <n v="10"/>
    <x v="0"/>
    <n v="1042572"/>
    <s v="Senior"/>
    <x v="1"/>
  </r>
  <r>
    <n v="1185"/>
    <s v="Rohan More"/>
    <x v="0"/>
    <n v="36"/>
    <x v="4"/>
    <s v="Recruiter"/>
    <n v="56776"/>
    <n v="1"/>
    <x v="1"/>
    <d v="2025-07-27T00:00:00"/>
    <n v="3"/>
    <n v="91"/>
    <n v="18"/>
    <x v="0"/>
    <n v="681312"/>
    <s v="Junior"/>
    <x v="1"/>
  </r>
  <r>
    <n v="1186"/>
    <s v="Rahul Joshi"/>
    <x v="0"/>
    <n v="45"/>
    <x v="2"/>
    <s v="Finance Analyst"/>
    <n v="61677"/>
    <n v="5"/>
    <x v="4"/>
    <d v="2018-05-15T00:00:00"/>
    <n v="3"/>
    <n v="85"/>
    <n v="21"/>
    <x v="1"/>
    <n v="740124"/>
    <s v="Mid-Level"/>
    <x v="1"/>
  </r>
  <r>
    <n v="1187"/>
    <s v="Sonal Patil"/>
    <x v="0"/>
    <n v="40"/>
    <x v="0"/>
    <s v="Analyst"/>
    <n v="70717"/>
    <n v="12"/>
    <x v="4"/>
    <d v="2025-06-03T00:00:00"/>
    <n v="2"/>
    <n v="95"/>
    <n v="17"/>
    <x v="0"/>
    <n v="848604"/>
    <s v="Senior"/>
    <x v="1"/>
  </r>
  <r>
    <n v="1188"/>
    <s v="Sneha More"/>
    <x v="0"/>
    <n v="43"/>
    <x v="0"/>
    <s v="Team Lead"/>
    <n v="78270"/>
    <n v="1"/>
    <x v="3"/>
    <d v="2023-12-28T00:00:00"/>
    <n v="2"/>
    <n v="85"/>
    <n v="3"/>
    <x v="0"/>
    <n v="939240"/>
    <s v="Junior"/>
    <x v="1"/>
  </r>
  <r>
    <n v="1189"/>
    <s v="Pooja More"/>
    <x v="0"/>
    <n v="35"/>
    <x v="3"/>
    <s v="Sales Manager"/>
    <n v="87854"/>
    <n v="15"/>
    <x v="0"/>
    <d v="2021-12-04T00:00:00"/>
    <n v="4"/>
    <n v="80"/>
    <n v="29"/>
    <x v="0"/>
    <n v="1054248"/>
    <s v="Senior"/>
    <x v="0"/>
  </r>
  <r>
    <n v="1190"/>
    <s v="Neha More"/>
    <x v="1"/>
    <n v="42"/>
    <x v="3"/>
    <s v="Sales Executive"/>
    <n v="67245"/>
    <n v="14"/>
    <x v="4"/>
    <d v="2018-06-18T00:00:00"/>
    <n v="3"/>
    <n v="89"/>
    <n v="27"/>
    <x v="1"/>
    <n v="806940"/>
    <s v="Senior"/>
    <x v="1"/>
  </r>
  <r>
    <n v="1191"/>
    <s v="Anjali Joshi"/>
    <x v="1"/>
    <n v="45"/>
    <x v="2"/>
    <s v="Accountant"/>
    <n v="55304"/>
    <n v="13"/>
    <x v="3"/>
    <d v="2020-01-19T00:00:00"/>
    <n v="3"/>
    <n v="95"/>
    <n v="15"/>
    <x v="0"/>
    <n v="663648"/>
    <s v="Senior"/>
    <x v="1"/>
  </r>
  <r>
    <n v="1192"/>
    <s v="Priya Patil"/>
    <x v="1"/>
    <n v="26"/>
    <x v="1"/>
    <s v="SEO Analyst"/>
    <n v="40398"/>
    <n v="4"/>
    <x v="1"/>
    <d v="2024-05-08T00:00:00"/>
    <n v="1"/>
    <n v="79"/>
    <n v="11"/>
    <x v="0"/>
    <n v="484776"/>
    <s v="Mid-Level"/>
    <x v="1"/>
  </r>
  <r>
    <n v="1193"/>
    <s v="Pooja Singh"/>
    <x v="1"/>
    <n v="38"/>
    <x v="0"/>
    <s v="Developer"/>
    <n v="57266"/>
    <n v="10"/>
    <x v="3"/>
    <d v="2025-08-05T00:00:00"/>
    <n v="5"/>
    <n v="80"/>
    <n v="30"/>
    <x v="1"/>
    <n v="687192"/>
    <s v="Senior"/>
    <x v="0"/>
  </r>
  <r>
    <n v="1194"/>
    <s v="Amit Jadhav"/>
    <x v="1"/>
    <n v="25"/>
    <x v="3"/>
    <s v="Sales Executive"/>
    <n v="45795"/>
    <n v="9"/>
    <x v="3"/>
    <d v="2023-05-27T00:00:00"/>
    <n v="4"/>
    <n v="83"/>
    <n v="7"/>
    <x v="1"/>
    <n v="549540"/>
    <s v="Senior"/>
    <x v="0"/>
  </r>
  <r>
    <n v="1195"/>
    <s v="Neha Joshi"/>
    <x v="1"/>
    <n v="43"/>
    <x v="2"/>
    <s v="Finance Analyst"/>
    <n v="37785"/>
    <n v="2"/>
    <x v="0"/>
    <d v="2025-04-01T00:00:00"/>
    <n v="3"/>
    <n v="92"/>
    <n v="5"/>
    <x v="0"/>
    <n v="453420"/>
    <s v="Junior"/>
    <x v="1"/>
  </r>
  <r>
    <n v="1196"/>
    <s v="Rohan Jadhav"/>
    <x v="0"/>
    <n v="32"/>
    <x v="2"/>
    <s v="Finance Analyst"/>
    <n v="49121"/>
    <n v="14"/>
    <x v="1"/>
    <d v="2025-04-17T00:00:00"/>
    <n v="2"/>
    <n v="79"/>
    <n v="21"/>
    <x v="1"/>
    <n v="589452"/>
    <s v="Senior"/>
    <x v="1"/>
  </r>
  <r>
    <n v="1197"/>
    <s v="Ritu Singh"/>
    <x v="1"/>
    <n v="38"/>
    <x v="0"/>
    <s v="Analyst"/>
    <n v="31713"/>
    <n v="9"/>
    <x v="0"/>
    <d v="2019-12-13T00:00:00"/>
    <n v="1"/>
    <n v="86"/>
    <n v="6"/>
    <x v="1"/>
    <n v="380556"/>
    <s v="Senior"/>
    <x v="1"/>
  </r>
  <r>
    <n v="1198"/>
    <s v="Ritu More"/>
    <x v="0"/>
    <n v="32"/>
    <x v="3"/>
    <s v="Sales Manager"/>
    <n v="33128"/>
    <n v="5"/>
    <x v="2"/>
    <d v="2023-04-10T00:00:00"/>
    <n v="1"/>
    <n v="79"/>
    <n v="4"/>
    <x v="0"/>
    <n v="397536"/>
    <s v="Mid-Level"/>
    <x v="1"/>
  </r>
  <r>
    <n v="1199"/>
    <s v="Amit Joshi"/>
    <x v="1"/>
    <n v="27"/>
    <x v="0"/>
    <s v="Developer"/>
    <n v="68673"/>
    <n v="9"/>
    <x v="3"/>
    <d v="2021-06-05T00:00:00"/>
    <n v="2"/>
    <n v="86"/>
    <n v="4"/>
    <x v="1"/>
    <n v="824076"/>
    <s v="Senior"/>
    <x v="1"/>
  </r>
  <r>
    <n v="1200"/>
    <s v="Neha More"/>
    <x v="0"/>
    <n v="45"/>
    <x v="2"/>
    <s v="Finance Analyst"/>
    <n v="75044"/>
    <n v="1"/>
    <x v="0"/>
    <d v="2018-02-01T00:00:00"/>
    <n v="1"/>
    <n v="99"/>
    <n v="21"/>
    <x v="0"/>
    <n v="900528"/>
    <s v="Junio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17">
    <pivotField dataField="1" showAll="0"/>
    <pivotField showAll="0"/>
    <pivotField showAll="0"/>
    <pivotField showAll="0"/>
    <pivotField axis="axisRow" showAll="0">
      <items count="6">
        <item x="2"/>
        <item x="4"/>
        <item x="0"/>
        <item x="1"/>
        <item x="3"/>
        <item t="default"/>
      </items>
    </pivotField>
    <pivotField showAll="0"/>
    <pivotField showAll="0"/>
    <pivotField showAll="0"/>
    <pivotField showAll="0"/>
    <pivotField numFmtId="164" showAll="0"/>
    <pivotField showAll="0"/>
    <pivotField showAll="0"/>
    <pivotField showAll="0"/>
    <pivotField showAll="0">
      <items count="3">
        <item x="0"/>
        <item x="1"/>
        <item t="default"/>
      </items>
    </pivotField>
    <pivotField showAll="0"/>
    <pivotField showAll="0"/>
    <pivotField showAll="0"/>
  </pivotFields>
  <rowFields count="1">
    <field x="4"/>
  </rowFields>
  <rowItems count="6">
    <i>
      <x/>
    </i>
    <i>
      <x v="1"/>
    </i>
    <i>
      <x v="2"/>
    </i>
    <i>
      <x v="3"/>
    </i>
    <i>
      <x v="4"/>
    </i>
    <i t="grand">
      <x/>
    </i>
  </rowItems>
  <colItems count="1">
    <i/>
  </colItems>
  <dataFields count="1">
    <dataField name="Count of Emp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L3:M6" firstHeaderRow="1" firstDataRow="1" firstDataCol="1"/>
  <pivotFields count="17">
    <pivotField dataField="1" showAll="0"/>
    <pivotField showAll="0"/>
    <pivotField axis="axisRow" showAll="0">
      <items count="3">
        <item x="0"/>
        <item x="1"/>
        <item t="default"/>
      </items>
    </pivotField>
    <pivotField showAll="0"/>
    <pivotField showAll="0">
      <items count="6">
        <item x="2"/>
        <item x="4"/>
        <item x="0"/>
        <item x="1"/>
        <item x="3"/>
        <item t="default"/>
      </items>
    </pivotField>
    <pivotField showAll="0"/>
    <pivotField showAll="0"/>
    <pivotField showAll="0"/>
    <pivotField showAll="0">
      <items count="6">
        <item x="4"/>
        <item x="3"/>
        <item x="0"/>
        <item x="2"/>
        <item x="1"/>
        <item t="default"/>
      </items>
    </pivotField>
    <pivotField numFmtId="164" showAll="0"/>
    <pivotField showAll="0"/>
    <pivotField showAll="0"/>
    <pivotField showAll="0"/>
    <pivotField showAll="0">
      <items count="3">
        <item x="0"/>
        <item x="1"/>
        <item t="default"/>
      </items>
    </pivotField>
    <pivotField showAll="0"/>
    <pivotField showAll="0"/>
    <pivotField showAll="0">
      <items count="3">
        <item x="0"/>
        <item x="1"/>
        <item t="default"/>
      </items>
    </pivotField>
  </pivotFields>
  <rowFields count="1">
    <field x="2"/>
  </rowFields>
  <rowItems count="3">
    <i>
      <x/>
    </i>
    <i>
      <x v="1"/>
    </i>
    <i t="grand">
      <x/>
    </i>
  </rowItems>
  <colItems count="1">
    <i/>
  </colItems>
  <dataFields count="1">
    <dataField name="Sum of Emp_ID" fld="0"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3:J10" firstHeaderRow="1" firstDataRow="2" firstDataCol="1"/>
  <pivotFields count="17">
    <pivotField dataField="1" showAll="0"/>
    <pivotField showAll="0"/>
    <pivotField showAll="0">
      <items count="3">
        <item x="0"/>
        <item x="1"/>
        <item t="default"/>
      </items>
    </pivotField>
    <pivotField showAll="0"/>
    <pivotField axis="axisRow" showAll="0">
      <items count="6">
        <item x="2"/>
        <item x="4"/>
        <item x="0"/>
        <item x="1"/>
        <item x="3"/>
        <item t="default"/>
      </items>
    </pivotField>
    <pivotField showAll="0"/>
    <pivotField showAll="0"/>
    <pivotField showAll="0"/>
    <pivotField showAll="0"/>
    <pivotField numFmtId="164" showAll="0"/>
    <pivotField showAll="0"/>
    <pivotField showAll="0"/>
    <pivotField showAll="0"/>
    <pivotField axis="axisCol" showAll="0">
      <items count="3">
        <item x="0"/>
        <item x="1"/>
        <item t="default"/>
      </items>
    </pivotField>
    <pivotField showAll="0"/>
    <pivotField showAll="0"/>
    <pivotField showAll="0"/>
  </pivotFields>
  <rowFields count="1">
    <field x="4"/>
  </rowFields>
  <rowItems count="6">
    <i>
      <x/>
    </i>
    <i>
      <x v="1"/>
    </i>
    <i>
      <x v="2"/>
    </i>
    <i>
      <x v="3"/>
    </i>
    <i>
      <x v="4"/>
    </i>
    <i t="grand">
      <x/>
    </i>
  </rowItems>
  <colFields count="1">
    <field x="13"/>
  </colFields>
  <colItems count="3">
    <i>
      <x/>
    </i>
    <i>
      <x v="1"/>
    </i>
    <i t="grand">
      <x/>
    </i>
  </colItems>
  <dataFields count="1">
    <dataField name="Sum of Emp_ID" fld="0" baseField="0" baseItem="0"/>
  </dataFields>
  <chartFormats count="6">
    <chartFormat chart="1" format="1" series="1">
      <pivotArea type="data" outline="0" fieldPosition="0">
        <references count="1">
          <reference field="13" count="1" selected="0">
            <x v="0"/>
          </reference>
        </references>
      </pivotArea>
    </chartFormat>
    <chartFormat chart="1" format="2" series="1">
      <pivotArea type="data" outline="0" fieldPosition="0">
        <references count="1">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D3:E9" firstHeaderRow="1" firstDataRow="1" firstDataCol="1"/>
  <pivotFields count="17">
    <pivotField showAll="0"/>
    <pivotField showAll="0"/>
    <pivotField showAll="0"/>
    <pivotField showAll="0"/>
    <pivotField axis="axisRow" showAll="0">
      <items count="6">
        <item x="2"/>
        <item x="4"/>
        <item x="0"/>
        <item x="1"/>
        <item x="3"/>
        <item t="default"/>
      </items>
    </pivotField>
    <pivotField showAll="0"/>
    <pivotField dataField="1" showAll="0"/>
    <pivotField showAll="0"/>
    <pivotField showAll="0"/>
    <pivotField numFmtId="164" showAll="0"/>
    <pivotField showAll="0"/>
    <pivotField showAll="0"/>
    <pivotField showAll="0"/>
    <pivotField showAll="0">
      <items count="3">
        <item x="0"/>
        <item x="1"/>
        <item t="default"/>
      </items>
    </pivotField>
    <pivotField showAll="0"/>
    <pivotField showAll="0"/>
    <pivotField showAll="0"/>
  </pivotFields>
  <rowFields count="1">
    <field x="4"/>
  </rowFields>
  <rowItems count="6">
    <i>
      <x/>
    </i>
    <i>
      <x v="1"/>
    </i>
    <i>
      <x v="2"/>
    </i>
    <i>
      <x v="3"/>
    </i>
    <i>
      <x v="4"/>
    </i>
    <i t="grand">
      <x/>
    </i>
  </rowItems>
  <colItems count="1">
    <i/>
  </colItems>
  <dataFields count="1">
    <dataField name="Sum of Salary" fld="6"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9"/>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9"/>
  </pivotTables>
  <data>
    <tabular pivotCacheId="1">
      <items count="5">
        <i x="2" s="1"/>
        <i x="4"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9"/>
  </pivotTables>
  <data>
    <tabular pivotCacheId="1">
      <items count="5">
        <i x="4" s="1"/>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2" name="PivotTable9"/>
    <pivotTable tabId="2" name="pivot table 1"/>
    <pivotTable tabId="2" name="PivotTable7"/>
    <pivotTable tabId="2" name="PivotTable8"/>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41300"/>
  <slicer name="Department 1" cache="Slicer_Department" caption="Department" rowHeight="241300"/>
  <slicer name="City 1" cache="Slicer_City" caption="City" rowHeight="241300"/>
  <slicer name="Attrition 1" cache="Slicer_Attrition" caption="Attri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0"/>
  <sheetViews>
    <sheetView workbookViewId="0">
      <selection activeCell="B6" sqref="B6"/>
    </sheetView>
  </sheetViews>
  <sheetFormatPr defaultRowHeight="15" x14ac:dyDescent="0.25"/>
  <cols>
    <col min="1" max="1" width="13.140625" bestFit="1" customWidth="1"/>
    <col min="2" max="2" width="15.85546875" bestFit="1" customWidth="1"/>
    <col min="4" max="4" width="13.140625" bestFit="1" customWidth="1"/>
    <col min="5" max="5" width="12.85546875" bestFit="1" customWidth="1"/>
    <col min="7" max="7" width="14.42578125" customWidth="1"/>
    <col min="8" max="8" width="16.28515625" bestFit="1" customWidth="1"/>
    <col min="9" max="9" width="6" bestFit="1" customWidth="1"/>
    <col min="10" max="10" width="11.28515625" bestFit="1" customWidth="1"/>
    <col min="12" max="12" width="13.140625" bestFit="1" customWidth="1"/>
    <col min="13" max="13" width="14.42578125" bestFit="1" customWidth="1"/>
  </cols>
  <sheetData>
    <row r="3" spans="1:13" x14ac:dyDescent="0.25">
      <c r="A3" s="2" t="s">
        <v>161</v>
      </c>
      <c r="B3" t="s">
        <v>171</v>
      </c>
      <c r="D3" s="2" t="s">
        <v>161</v>
      </c>
      <c r="E3" t="s">
        <v>164</v>
      </c>
      <c r="G3" s="2" t="s">
        <v>163</v>
      </c>
      <c r="H3" s="2" t="s">
        <v>165</v>
      </c>
      <c r="L3" s="2" t="s">
        <v>161</v>
      </c>
      <c r="M3" t="s">
        <v>163</v>
      </c>
    </row>
    <row r="4" spans="1:13" x14ac:dyDescent="0.25">
      <c r="A4" s="3" t="s">
        <v>27</v>
      </c>
      <c r="B4" s="4">
        <v>43</v>
      </c>
      <c r="D4" s="3" t="s">
        <v>27</v>
      </c>
      <c r="E4" s="4">
        <v>2564565</v>
      </c>
      <c r="G4" s="2" t="s">
        <v>161</v>
      </c>
      <c r="H4" t="s">
        <v>19</v>
      </c>
      <c r="I4" t="s">
        <v>40</v>
      </c>
      <c r="J4" t="s">
        <v>162</v>
      </c>
      <c r="L4" s="3" t="s">
        <v>15</v>
      </c>
      <c r="M4" s="4">
        <v>126145</v>
      </c>
    </row>
    <row r="5" spans="1:13" x14ac:dyDescent="0.25">
      <c r="A5" s="3" t="s">
        <v>36</v>
      </c>
      <c r="B5" s="4">
        <v>44</v>
      </c>
      <c r="D5" s="3" t="s">
        <v>36</v>
      </c>
      <c r="E5" s="4">
        <v>2655636</v>
      </c>
      <c r="G5" s="3" t="s">
        <v>27</v>
      </c>
      <c r="H5" s="4">
        <v>29190</v>
      </c>
      <c r="I5" s="4">
        <v>17743</v>
      </c>
      <c r="J5" s="4">
        <v>46933</v>
      </c>
      <c r="L5" s="3" t="s">
        <v>25</v>
      </c>
      <c r="M5" s="4">
        <v>93955</v>
      </c>
    </row>
    <row r="6" spans="1:13" x14ac:dyDescent="0.25">
      <c r="A6" s="3" t="s">
        <v>16</v>
      </c>
      <c r="B6" s="4">
        <v>39</v>
      </c>
      <c r="D6" s="3" t="s">
        <v>16</v>
      </c>
      <c r="E6" s="4">
        <v>2289186</v>
      </c>
      <c r="G6" s="3" t="s">
        <v>36</v>
      </c>
      <c r="H6" s="4">
        <v>39462</v>
      </c>
      <c r="I6" s="4">
        <v>8589</v>
      </c>
      <c r="J6" s="4">
        <v>48051</v>
      </c>
      <c r="L6" s="3" t="s">
        <v>162</v>
      </c>
      <c r="M6" s="4">
        <v>220100</v>
      </c>
    </row>
    <row r="7" spans="1:13" x14ac:dyDescent="0.25">
      <c r="A7" s="3" t="s">
        <v>21</v>
      </c>
      <c r="B7" s="4">
        <v>38</v>
      </c>
      <c r="D7" s="3" t="s">
        <v>21</v>
      </c>
      <c r="E7" s="4">
        <v>2296289</v>
      </c>
      <c r="G7" s="3" t="s">
        <v>16</v>
      </c>
      <c r="H7" s="4">
        <v>32817</v>
      </c>
      <c r="I7" s="4">
        <v>10183</v>
      </c>
      <c r="J7" s="4">
        <v>43000</v>
      </c>
    </row>
    <row r="8" spans="1:13" x14ac:dyDescent="0.25">
      <c r="A8" s="3" t="s">
        <v>31</v>
      </c>
      <c r="B8" s="4">
        <v>36</v>
      </c>
      <c r="D8" s="3" t="s">
        <v>31</v>
      </c>
      <c r="E8" s="4">
        <v>2084378</v>
      </c>
      <c r="G8" s="3" t="s">
        <v>21</v>
      </c>
      <c r="H8" s="4">
        <v>34253</v>
      </c>
      <c r="I8" s="4">
        <v>7758</v>
      </c>
      <c r="J8" s="4">
        <v>42011</v>
      </c>
    </row>
    <row r="9" spans="1:13" x14ac:dyDescent="0.25">
      <c r="A9" s="3" t="s">
        <v>162</v>
      </c>
      <c r="B9" s="4">
        <v>200</v>
      </c>
      <c r="D9" s="3" t="s">
        <v>162</v>
      </c>
      <c r="E9" s="4">
        <v>11890054</v>
      </c>
      <c r="G9" s="3" t="s">
        <v>31</v>
      </c>
      <c r="H9" s="4">
        <v>32311</v>
      </c>
      <c r="I9" s="4">
        <v>7794</v>
      </c>
      <c r="J9" s="4">
        <v>40105</v>
      </c>
    </row>
    <row r="10" spans="1:13" x14ac:dyDescent="0.25">
      <c r="G10" s="3" t="s">
        <v>162</v>
      </c>
      <c r="H10" s="4">
        <v>168033</v>
      </c>
      <c r="I10" s="4">
        <v>52067</v>
      </c>
      <c r="J10" s="4">
        <v>220100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1"/>
  <sheetViews>
    <sheetView workbookViewId="0"/>
  </sheetViews>
  <sheetFormatPr defaultRowHeight="15" x14ac:dyDescent="0.25"/>
  <cols>
    <col min="1" max="1" width="11.5703125" customWidth="1"/>
    <col min="2" max="2" width="16.42578125" customWidth="1"/>
    <col min="3" max="3" width="10.5703125" customWidth="1"/>
    <col min="5" max="5" width="12.140625" customWidth="1"/>
    <col min="6" max="6" width="18.5703125" customWidth="1"/>
    <col min="7" max="7" width="10" customWidth="1"/>
    <col min="8" max="8" width="11.140625" customWidth="1"/>
    <col min="9" max="9" width="12" customWidth="1"/>
    <col min="10" max="10" width="13" customWidth="1"/>
    <col min="11" max="11" width="20.140625" customWidth="1"/>
    <col min="12" max="12" width="13.85546875" customWidth="1"/>
    <col min="13" max="13" width="15.5703125" customWidth="1"/>
    <col min="14" max="14" width="12.28515625" customWidth="1"/>
    <col min="15" max="15" width="13.140625" customWidth="1"/>
    <col min="16" max="16" width="16" customWidth="1"/>
    <col min="17" max="17" width="19.5703125" customWidth="1"/>
    <col min="18" max="18" width="9"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158</v>
      </c>
      <c r="P1" t="s">
        <v>159</v>
      </c>
      <c r="Q1" t="s">
        <v>160</v>
      </c>
    </row>
    <row r="2" spans="1:17" x14ac:dyDescent="0.25">
      <c r="A2">
        <v>1001</v>
      </c>
      <c r="B2" t="s">
        <v>14</v>
      </c>
      <c r="C2" t="s">
        <v>15</v>
      </c>
      <c r="D2">
        <v>24</v>
      </c>
      <c r="E2" t="s">
        <v>16</v>
      </c>
      <c r="F2" t="s">
        <v>17</v>
      </c>
      <c r="G2">
        <v>74510</v>
      </c>
      <c r="H2">
        <v>12</v>
      </c>
      <c r="I2" t="s">
        <v>18</v>
      </c>
      <c r="J2" s="1">
        <v>44746</v>
      </c>
      <c r="K2">
        <v>5</v>
      </c>
      <c r="L2">
        <v>99</v>
      </c>
      <c r="M2">
        <v>13</v>
      </c>
      <c r="N2" t="s">
        <v>19</v>
      </c>
      <c r="O2">
        <f>G2*12</f>
        <v>894120</v>
      </c>
      <c r="P2" t="str">
        <f>IF(H2&lt;3,"Junior",IF(H2&lt;7,"Mid-Level","Senior"))</f>
        <v>Senior</v>
      </c>
      <c r="Q2" t="str">
        <f>IF(K2&gt;=4,"Excellent","Needs Improvement")</f>
        <v>Excellent</v>
      </c>
    </row>
    <row r="3" spans="1:17" x14ac:dyDescent="0.25">
      <c r="A3">
        <v>1002</v>
      </c>
      <c r="B3" t="s">
        <v>20</v>
      </c>
      <c r="C3" t="s">
        <v>15</v>
      </c>
      <c r="D3">
        <v>27</v>
      </c>
      <c r="E3" t="s">
        <v>21</v>
      </c>
      <c r="F3" t="s">
        <v>22</v>
      </c>
      <c r="G3">
        <v>72524</v>
      </c>
      <c r="H3">
        <v>10</v>
      </c>
      <c r="I3" t="s">
        <v>23</v>
      </c>
      <c r="J3" s="1">
        <v>45900</v>
      </c>
      <c r="K3">
        <v>5</v>
      </c>
      <c r="L3">
        <v>94</v>
      </c>
      <c r="M3">
        <v>18</v>
      </c>
      <c r="N3" t="s">
        <v>19</v>
      </c>
      <c r="O3">
        <f t="shared" ref="O3:O66" si="0">G3*12</f>
        <v>870288</v>
      </c>
      <c r="P3" t="str">
        <f t="shared" ref="P3:P66" si="1">IF(H3&lt;3,"Junior",IF(H3&lt;7,"Mid-Level","Senior"))</f>
        <v>Senior</v>
      </c>
      <c r="Q3" t="str">
        <f t="shared" ref="Q3:Q66" si="2">IF(K3&gt;=4,"Excellent","Needs Improvement")</f>
        <v>Excellent</v>
      </c>
    </row>
    <row r="4" spans="1:17" x14ac:dyDescent="0.25">
      <c r="A4">
        <v>1003</v>
      </c>
      <c r="B4" t="s">
        <v>24</v>
      </c>
      <c r="C4" t="s">
        <v>25</v>
      </c>
      <c r="D4">
        <v>41</v>
      </c>
      <c r="E4" t="s">
        <v>16</v>
      </c>
      <c r="F4" t="s">
        <v>17</v>
      </c>
      <c r="G4">
        <v>51358</v>
      </c>
      <c r="H4">
        <v>12</v>
      </c>
      <c r="I4" t="s">
        <v>18</v>
      </c>
      <c r="J4" s="1">
        <v>43124</v>
      </c>
      <c r="K4">
        <v>1</v>
      </c>
      <c r="L4">
        <v>98</v>
      </c>
      <c r="M4">
        <v>25</v>
      </c>
      <c r="N4" t="s">
        <v>19</v>
      </c>
      <c r="O4">
        <f t="shared" si="0"/>
        <v>616296</v>
      </c>
      <c r="P4" t="str">
        <f t="shared" si="1"/>
        <v>Senior</v>
      </c>
      <c r="Q4" t="str">
        <f t="shared" si="2"/>
        <v>Needs Improvement</v>
      </c>
    </row>
    <row r="5" spans="1:17" x14ac:dyDescent="0.25">
      <c r="A5">
        <v>1004</v>
      </c>
      <c r="B5" t="s">
        <v>26</v>
      </c>
      <c r="C5" t="s">
        <v>15</v>
      </c>
      <c r="D5">
        <v>38</v>
      </c>
      <c r="E5" t="s">
        <v>27</v>
      </c>
      <c r="F5" t="s">
        <v>28</v>
      </c>
      <c r="G5">
        <v>83033</v>
      </c>
      <c r="H5">
        <v>6</v>
      </c>
      <c r="I5" t="s">
        <v>29</v>
      </c>
      <c r="J5" s="1">
        <v>44599</v>
      </c>
      <c r="K5">
        <v>1</v>
      </c>
      <c r="L5">
        <v>88</v>
      </c>
      <c r="M5">
        <v>2</v>
      </c>
      <c r="N5" t="s">
        <v>19</v>
      </c>
      <c r="O5">
        <f t="shared" si="0"/>
        <v>996396</v>
      </c>
      <c r="P5" t="str">
        <f t="shared" si="1"/>
        <v>Mid-Level</v>
      </c>
      <c r="Q5" t="str">
        <f t="shared" si="2"/>
        <v>Needs Improvement</v>
      </c>
    </row>
    <row r="6" spans="1:17" x14ac:dyDescent="0.25">
      <c r="A6">
        <v>1005</v>
      </c>
      <c r="B6" t="s">
        <v>30</v>
      </c>
      <c r="C6" t="s">
        <v>25</v>
      </c>
      <c r="D6">
        <v>27</v>
      </c>
      <c r="E6" t="s">
        <v>31</v>
      </c>
      <c r="F6" t="s">
        <v>32</v>
      </c>
      <c r="G6">
        <v>88356</v>
      </c>
      <c r="H6">
        <v>2</v>
      </c>
      <c r="I6" t="s">
        <v>23</v>
      </c>
      <c r="J6" s="1">
        <v>46063</v>
      </c>
      <c r="K6">
        <v>1</v>
      </c>
      <c r="L6">
        <v>99</v>
      </c>
      <c r="M6">
        <v>12</v>
      </c>
      <c r="N6" t="s">
        <v>19</v>
      </c>
      <c r="O6">
        <f t="shared" si="0"/>
        <v>1060272</v>
      </c>
      <c r="P6" t="str">
        <f t="shared" si="1"/>
        <v>Junior</v>
      </c>
      <c r="Q6" t="str">
        <f t="shared" si="2"/>
        <v>Needs Improvement</v>
      </c>
    </row>
    <row r="7" spans="1:17" x14ac:dyDescent="0.25">
      <c r="A7">
        <v>1006</v>
      </c>
      <c r="B7" t="s">
        <v>33</v>
      </c>
      <c r="C7" t="s">
        <v>15</v>
      </c>
      <c r="D7">
        <v>24</v>
      </c>
      <c r="E7" t="s">
        <v>16</v>
      </c>
      <c r="F7" t="s">
        <v>34</v>
      </c>
      <c r="G7">
        <v>65806</v>
      </c>
      <c r="H7">
        <v>9</v>
      </c>
      <c r="I7" t="s">
        <v>29</v>
      </c>
      <c r="J7" s="1">
        <v>45838</v>
      </c>
      <c r="K7">
        <v>2</v>
      </c>
      <c r="L7">
        <v>80</v>
      </c>
      <c r="M7">
        <v>8</v>
      </c>
      <c r="N7" t="s">
        <v>19</v>
      </c>
      <c r="O7">
        <f t="shared" si="0"/>
        <v>789672</v>
      </c>
      <c r="P7" t="str">
        <f t="shared" si="1"/>
        <v>Senior</v>
      </c>
      <c r="Q7" t="str">
        <f t="shared" si="2"/>
        <v>Needs Improvement</v>
      </c>
    </row>
    <row r="8" spans="1:17" x14ac:dyDescent="0.25">
      <c r="A8">
        <v>1007</v>
      </c>
      <c r="B8" t="s">
        <v>35</v>
      </c>
      <c r="C8" t="s">
        <v>25</v>
      </c>
      <c r="D8">
        <v>42</v>
      </c>
      <c r="E8" t="s">
        <v>36</v>
      </c>
      <c r="F8" t="s">
        <v>37</v>
      </c>
      <c r="G8">
        <v>62003</v>
      </c>
      <c r="H8">
        <v>8</v>
      </c>
      <c r="I8" t="s">
        <v>23</v>
      </c>
      <c r="J8" s="1">
        <v>44170</v>
      </c>
      <c r="K8">
        <v>4</v>
      </c>
      <c r="L8">
        <v>99</v>
      </c>
      <c r="M8">
        <v>14</v>
      </c>
      <c r="N8" t="s">
        <v>19</v>
      </c>
      <c r="O8">
        <f t="shared" si="0"/>
        <v>744036</v>
      </c>
      <c r="P8" t="str">
        <f t="shared" si="1"/>
        <v>Senior</v>
      </c>
      <c r="Q8" t="str">
        <f t="shared" si="2"/>
        <v>Excellent</v>
      </c>
    </row>
    <row r="9" spans="1:17" x14ac:dyDescent="0.25">
      <c r="A9">
        <v>1008</v>
      </c>
      <c r="B9" t="s">
        <v>38</v>
      </c>
      <c r="C9" t="s">
        <v>25</v>
      </c>
      <c r="D9">
        <v>26</v>
      </c>
      <c r="E9" t="s">
        <v>21</v>
      </c>
      <c r="F9" t="s">
        <v>22</v>
      </c>
      <c r="G9">
        <v>34895</v>
      </c>
      <c r="H9">
        <v>6</v>
      </c>
      <c r="I9" t="s">
        <v>18</v>
      </c>
      <c r="J9" s="1">
        <v>44709</v>
      </c>
      <c r="K9">
        <v>3</v>
      </c>
      <c r="L9">
        <v>87</v>
      </c>
      <c r="M9">
        <v>30</v>
      </c>
      <c r="N9" t="s">
        <v>19</v>
      </c>
      <c r="O9">
        <f t="shared" si="0"/>
        <v>418740</v>
      </c>
      <c r="P9" t="str">
        <f t="shared" si="1"/>
        <v>Mid-Level</v>
      </c>
      <c r="Q9" t="str">
        <f t="shared" si="2"/>
        <v>Needs Improvement</v>
      </c>
    </row>
    <row r="10" spans="1:17" x14ac:dyDescent="0.25">
      <c r="A10">
        <v>1009</v>
      </c>
      <c r="B10" t="s">
        <v>39</v>
      </c>
      <c r="C10" t="s">
        <v>25</v>
      </c>
      <c r="D10">
        <v>24</v>
      </c>
      <c r="E10" t="s">
        <v>31</v>
      </c>
      <c r="F10" t="s">
        <v>32</v>
      </c>
      <c r="G10">
        <v>39181</v>
      </c>
      <c r="H10">
        <v>7</v>
      </c>
      <c r="I10" t="s">
        <v>23</v>
      </c>
      <c r="J10" s="1">
        <v>44087</v>
      </c>
      <c r="K10">
        <v>1</v>
      </c>
      <c r="L10">
        <v>83</v>
      </c>
      <c r="M10">
        <v>2</v>
      </c>
      <c r="N10" t="s">
        <v>40</v>
      </c>
      <c r="O10">
        <f t="shared" si="0"/>
        <v>470172</v>
      </c>
      <c r="P10" t="str">
        <f t="shared" si="1"/>
        <v>Senior</v>
      </c>
      <c r="Q10" t="str">
        <f t="shared" si="2"/>
        <v>Needs Improvement</v>
      </c>
    </row>
    <row r="11" spans="1:17" x14ac:dyDescent="0.25">
      <c r="A11">
        <v>1010</v>
      </c>
      <c r="B11" t="s">
        <v>41</v>
      </c>
      <c r="C11" t="s">
        <v>25</v>
      </c>
      <c r="D11">
        <v>28</v>
      </c>
      <c r="E11" t="s">
        <v>31</v>
      </c>
      <c r="F11" t="s">
        <v>32</v>
      </c>
      <c r="G11">
        <v>58901</v>
      </c>
      <c r="H11">
        <v>2</v>
      </c>
      <c r="I11" t="s">
        <v>18</v>
      </c>
      <c r="J11" s="1">
        <v>43764</v>
      </c>
      <c r="K11">
        <v>3</v>
      </c>
      <c r="L11">
        <v>83</v>
      </c>
      <c r="M11">
        <v>29</v>
      </c>
      <c r="N11" t="s">
        <v>19</v>
      </c>
      <c r="O11">
        <f t="shared" si="0"/>
        <v>706812</v>
      </c>
      <c r="P11" t="str">
        <f t="shared" si="1"/>
        <v>Junior</v>
      </c>
      <c r="Q11" t="str">
        <f t="shared" si="2"/>
        <v>Needs Improvement</v>
      </c>
    </row>
    <row r="12" spans="1:17" x14ac:dyDescent="0.25">
      <c r="A12">
        <v>1011</v>
      </c>
      <c r="B12" t="s">
        <v>42</v>
      </c>
      <c r="C12" t="s">
        <v>15</v>
      </c>
      <c r="D12">
        <v>26</v>
      </c>
      <c r="E12" t="s">
        <v>31</v>
      </c>
      <c r="F12" t="s">
        <v>43</v>
      </c>
      <c r="G12">
        <v>35317</v>
      </c>
      <c r="H12">
        <v>13</v>
      </c>
      <c r="I12" t="s">
        <v>23</v>
      </c>
      <c r="J12" s="1">
        <v>44800</v>
      </c>
      <c r="K12">
        <v>2</v>
      </c>
      <c r="L12">
        <v>77</v>
      </c>
      <c r="M12">
        <v>5</v>
      </c>
      <c r="N12" t="s">
        <v>40</v>
      </c>
      <c r="O12">
        <f t="shared" si="0"/>
        <v>423804</v>
      </c>
      <c r="P12" t="str">
        <f t="shared" si="1"/>
        <v>Senior</v>
      </c>
      <c r="Q12" t="str">
        <f t="shared" si="2"/>
        <v>Needs Improvement</v>
      </c>
    </row>
    <row r="13" spans="1:17" x14ac:dyDescent="0.25">
      <c r="A13">
        <v>1012</v>
      </c>
      <c r="B13" t="s">
        <v>44</v>
      </c>
      <c r="C13" t="s">
        <v>25</v>
      </c>
      <c r="D13">
        <v>41</v>
      </c>
      <c r="E13" t="s">
        <v>16</v>
      </c>
      <c r="F13" t="s">
        <v>34</v>
      </c>
      <c r="G13">
        <v>71424</v>
      </c>
      <c r="H13">
        <v>7</v>
      </c>
      <c r="I13" t="s">
        <v>18</v>
      </c>
      <c r="J13" s="1">
        <v>44408</v>
      </c>
      <c r="K13">
        <v>2</v>
      </c>
      <c r="L13">
        <v>76</v>
      </c>
      <c r="M13">
        <v>0</v>
      </c>
      <c r="N13" t="s">
        <v>40</v>
      </c>
      <c r="O13">
        <f t="shared" si="0"/>
        <v>857088</v>
      </c>
      <c r="P13" t="str">
        <f t="shared" si="1"/>
        <v>Senior</v>
      </c>
      <c r="Q13" t="str">
        <f t="shared" si="2"/>
        <v>Needs Improvement</v>
      </c>
    </row>
    <row r="14" spans="1:17" x14ac:dyDescent="0.25">
      <c r="A14">
        <v>1013</v>
      </c>
      <c r="B14" t="s">
        <v>45</v>
      </c>
      <c r="C14" t="s">
        <v>15</v>
      </c>
      <c r="D14">
        <v>34</v>
      </c>
      <c r="E14" t="s">
        <v>21</v>
      </c>
      <c r="F14" t="s">
        <v>46</v>
      </c>
      <c r="G14">
        <v>50355</v>
      </c>
      <c r="H14">
        <v>2</v>
      </c>
      <c r="I14" t="s">
        <v>29</v>
      </c>
      <c r="J14" s="1">
        <v>46056</v>
      </c>
      <c r="K14">
        <v>2</v>
      </c>
      <c r="L14">
        <v>90</v>
      </c>
      <c r="M14">
        <v>5</v>
      </c>
      <c r="N14" t="s">
        <v>19</v>
      </c>
      <c r="O14">
        <f t="shared" si="0"/>
        <v>604260</v>
      </c>
      <c r="P14" t="str">
        <f t="shared" si="1"/>
        <v>Junior</v>
      </c>
      <c r="Q14" t="str">
        <f t="shared" si="2"/>
        <v>Needs Improvement</v>
      </c>
    </row>
    <row r="15" spans="1:17" x14ac:dyDescent="0.25">
      <c r="A15">
        <v>1014</v>
      </c>
      <c r="B15" t="s">
        <v>47</v>
      </c>
      <c r="C15" t="s">
        <v>15</v>
      </c>
      <c r="D15">
        <v>23</v>
      </c>
      <c r="E15" t="s">
        <v>21</v>
      </c>
      <c r="F15" t="s">
        <v>46</v>
      </c>
      <c r="G15">
        <v>56605</v>
      </c>
      <c r="H15">
        <v>4</v>
      </c>
      <c r="I15" t="s">
        <v>29</v>
      </c>
      <c r="J15" s="1">
        <v>44071</v>
      </c>
      <c r="K15">
        <v>1</v>
      </c>
      <c r="L15">
        <v>76</v>
      </c>
      <c r="M15">
        <v>28</v>
      </c>
      <c r="N15" t="s">
        <v>19</v>
      </c>
      <c r="O15">
        <f t="shared" si="0"/>
        <v>679260</v>
      </c>
      <c r="P15" t="str">
        <f t="shared" si="1"/>
        <v>Mid-Level</v>
      </c>
      <c r="Q15" t="str">
        <f t="shared" si="2"/>
        <v>Needs Improvement</v>
      </c>
    </row>
    <row r="16" spans="1:17" x14ac:dyDescent="0.25">
      <c r="A16">
        <v>1015</v>
      </c>
      <c r="B16" t="s">
        <v>48</v>
      </c>
      <c r="C16" t="s">
        <v>15</v>
      </c>
      <c r="D16">
        <v>38</v>
      </c>
      <c r="E16" t="s">
        <v>21</v>
      </c>
      <c r="F16" t="s">
        <v>22</v>
      </c>
      <c r="G16">
        <v>87527</v>
      </c>
      <c r="H16">
        <v>6</v>
      </c>
      <c r="I16" t="s">
        <v>49</v>
      </c>
      <c r="J16" s="1">
        <v>45794</v>
      </c>
      <c r="K16">
        <v>5</v>
      </c>
      <c r="L16">
        <v>88</v>
      </c>
      <c r="M16">
        <v>25</v>
      </c>
      <c r="N16" t="s">
        <v>19</v>
      </c>
      <c r="O16">
        <f t="shared" si="0"/>
        <v>1050324</v>
      </c>
      <c r="P16" t="str">
        <f t="shared" si="1"/>
        <v>Mid-Level</v>
      </c>
      <c r="Q16" t="str">
        <f t="shared" si="2"/>
        <v>Excellent</v>
      </c>
    </row>
    <row r="17" spans="1:17" x14ac:dyDescent="0.25">
      <c r="A17">
        <v>1016</v>
      </c>
      <c r="B17" t="s">
        <v>50</v>
      </c>
      <c r="C17" t="s">
        <v>25</v>
      </c>
      <c r="D17">
        <v>40</v>
      </c>
      <c r="E17" t="s">
        <v>27</v>
      </c>
      <c r="F17" t="s">
        <v>51</v>
      </c>
      <c r="G17">
        <v>56360</v>
      </c>
      <c r="H17">
        <v>4</v>
      </c>
      <c r="I17" t="s">
        <v>29</v>
      </c>
      <c r="J17" s="1">
        <v>44423</v>
      </c>
      <c r="K17">
        <v>4</v>
      </c>
      <c r="L17">
        <v>80</v>
      </c>
      <c r="M17">
        <v>23</v>
      </c>
      <c r="N17" t="s">
        <v>19</v>
      </c>
      <c r="O17">
        <f t="shared" si="0"/>
        <v>676320</v>
      </c>
      <c r="P17" t="str">
        <f t="shared" si="1"/>
        <v>Mid-Level</v>
      </c>
      <c r="Q17" t="str">
        <f t="shared" si="2"/>
        <v>Excellent</v>
      </c>
    </row>
    <row r="18" spans="1:17" x14ac:dyDescent="0.25">
      <c r="A18">
        <v>1017</v>
      </c>
      <c r="B18" t="s">
        <v>52</v>
      </c>
      <c r="C18" t="s">
        <v>15</v>
      </c>
      <c r="D18">
        <v>28</v>
      </c>
      <c r="E18" t="s">
        <v>21</v>
      </c>
      <c r="F18" t="s">
        <v>46</v>
      </c>
      <c r="G18">
        <v>55125</v>
      </c>
      <c r="H18">
        <v>12</v>
      </c>
      <c r="I18" t="s">
        <v>23</v>
      </c>
      <c r="J18" s="1">
        <v>43322</v>
      </c>
      <c r="K18">
        <v>5</v>
      </c>
      <c r="L18">
        <v>96</v>
      </c>
      <c r="M18">
        <v>18</v>
      </c>
      <c r="N18" t="s">
        <v>19</v>
      </c>
      <c r="O18">
        <f t="shared" si="0"/>
        <v>661500</v>
      </c>
      <c r="P18" t="str">
        <f t="shared" si="1"/>
        <v>Senior</v>
      </c>
      <c r="Q18" t="str">
        <f t="shared" si="2"/>
        <v>Excellent</v>
      </c>
    </row>
    <row r="19" spans="1:17" x14ac:dyDescent="0.25">
      <c r="A19">
        <v>1018</v>
      </c>
      <c r="B19" t="s">
        <v>53</v>
      </c>
      <c r="C19" t="s">
        <v>15</v>
      </c>
      <c r="D19">
        <v>27</v>
      </c>
      <c r="E19" t="s">
        <v>27</v>
      </c>
      <c r="F19" t="s">
        <v>28</v>
      </c>
      <c r="G19">
        <v>43227</v>
      </c>
      <c r="H19">
        <v>4</v>
      </c>
      <c r="I19" t="s">
        <v>23</v>
      </c>
      <c r="J19" s="1">
        <v>44254</v>
      </c>
      <c r="K19">
        <v>5</v>
      </c>
      <c r="L19">
        <v>78</v>
      </c>
      <c r="M19">
        <v>3</v>
      </c>
      <c r="N19" t="s">
        <v>40</v>
      </c>
      <c r="O19">
        <f t="shared" si="0"/>
        <v>518724</v>
      </c>
      <c r="P19" t="str">
        <f t="shared" si="1"/>
        <v>Mid-Level</v>
      </c>
      <c r="Q19" t="str">
        <f t="shared" si="2"/>
        <v>Excellent</v>
      </c>
    </row>
    <row r="20" spans="1:17" x14ac:dyDescent="0.25">
      <c r="A20">
        <v>1019</v>
      </c>
      <c r="B20" t="s">
        <v>54</v>
      </c>
      <c r="C20" t="s">
        <v>15</v>
      </c>
      <c r="D20">
        <v>23</v>
      </c>
      <c r="E20" t="s">
        <v>27</v>
      </c>
      <c r="F20" t="s">
        <v>51</v>
      </c>
      <c r="G20">
        <v>72690</v>
      </c>
      <c r="H20">
        <v>6</v>
      </c>
      <c r="I20" t="s">
        <v>55</v>
      </c>
      <c r="J20" s="1">
        <v>43872</v>
      </c>
      <c r="K20">
        <v>2</v>
      </c>
      <c r="L20">
        <v>94</v>
      </c>
      <c r="M20">
        <v>23</v>
      </c>
      <c r="N20" t="s">
        <v>19</v>
      </c>
      <c r="O20">
        <f t="shared" si="0"/>
        <v>872280</v>
      </c>
      <c r="P20" t="str">
        <f t="shared" si="1"/>
        <v>Mid-Level</v>
      </c>
      <c r="Q20" t="str">
        <f t="shared" si="2"/>
        <v>Needs Improvement</v>
      </c>
    </row>
    <row r="21" spans="1:17" x14ac:dyDescent="0.25">
      <c r="A21">
        <v>1020</v>
      </c>
      <c r="B21" t="s">
        <v>56</v>
      </c>
      <c r="C21" t="s">
        <v>25</v>
      </c>
      <c r="D21">
        <v>33</v>
      </c>
      <c r="E21" t="s">
        <v>31</v>
      </c>
      <c r="F21" t="s">
        <v>43</v>
      </c>
      <c r="G21">
        <v>72737</v>
      </c>
      <c r="H21">
        <v>3</v>
      </c>
      <c r="I21" t="s">
        <v>18</v>
      </c>
      <c r="J21" s="1">
        <v>45291</v>
      </c>
      <c r="K21">
        <v>3</v>
      </c>
      <c r="L21">
        <v>84</v>
      </c>
      <c r="M21">
        <v>15</v>
      </c>
      <c r="N21" t="s">
        <v>19</v>
      </c>
      <c r="O21">
        <f t="shared" si="0"/>
        <v>872844</v>
      </c>
      <c r="P21" t="str">
        <f t="shared" si="1"/>
        <v>Mid-Level</v>
      </c>
      <c r="Q21" t="str">
        <f t="shared" si="2"/>
        <v>Needs Improvement</v>
      </c>
    </row>
    <row r="22" spans="1:17" x14ac:dyDescent="0.25">
      <c r="A22">
        <v>1021</v>
      </c>
      <c r="B22" t="s">
        <v>45</v>
      </c>
      <c r="C22" t="s">
        <v>15</v>
      </c>
      <c r="D22">
        <v>37</v>
      </c>
      <c r="E22" t="s">
        <v>36</v>
      </c>
      <c r="F22" t="s">
        <v>57</v>
      </c>
      <c r="G22">
        <v>78804</v>
      </c>
      <c r="H22">
        <v>1</v>
      </c>
      <c r="I22" t="s">
        <v>29</v>
      </c>
      <c r="J22" s="1">
        <v>45579</v>
      </c>
      <c r="K22">
        <v>2</v>
      </c>
      <c r="L22">
        <v>96</v>
      </c>
      <c r="M22">
        <v>9</v>
      </c>
      <c r="N22" t="s">
        <v>19</v>
      </c>
      <c r="O22">
        <f t="shared" si="0"/>
        <v>945648</v>
      </c>
      <c r="P22" t="str">
        <f t="shared" si="1"/>
        <v>Junior</v>
      </c>
      <c r="Q22" t="str">
        <f t="shared" si="2"/>
        <v>Needs Improvement</v>
      </c>
    </row>
    <row r="23" spans="1:17" x14ac:dyDescent="0.25">
      <c r="A23">
        <v>1022</v>
      </c>
      <c r="B23" t="s">
        <v>14</v>
      </c>
      <c r="C23" t="s">
        <v>15</v>
      </c>
      <c r="D23">
        <v>45</v>
      </c>
      <c r="E23" t="s">
        <v>36</v>
      </c>
      <c r="F23" t="s">
        <v>57</v>
      </c>
      <c r="G23">
        <v>53758</v>
      </c>
      <c r="H23">
        <v>8</v>
      </c>
      <c r="I23" t="s">
        <v>29</v>
      </c>
      <c r="J23" s="1">
        <v>45689</v>
      </c>
      <c r="K23">
        <v>4</v>
      </c>
      <c r="L23">
        <v>75</v>
      </c>
      <c r="M23">
        <v>27</v>
      </c>
      <c r="N23" t="s">
        <v>19</v>
      </c>
      <c r="O23">
        <f t="shared" si="0"/>
        <v>645096</v>
      </c>
      <c r="P23" t="str">
        <f t="shared" si="1"/>
        <v>Senior</v>
      </c>
      <c r="Q23" t="str">
        <f t="shared" si="2"/>
        <v>Excellent</v>
      </c>
    </row>
    <row r="24" spans="1:17" x14ac:dyDescent="0.25">
      <c r="A24">
        <v>1023</v>
      </c>
      <c r="B24" t="s">
        <v>58</v>
      </c>
      <c r="C24" t="s">
        <v>25</v>
      </c>
      <c r="D24">
        <v>36</v>
      </c>
      <c r="E24" t="s">
        <v>16</v>
      </c>
      <c r="F24" t="s">
        <v>59</v>
      </c>
      <c r="G24">
        <v>52084</v>
      </c>
      <c r="H24">
        <v>11</v>
      </c>
      <c r="I24" t="s">
        <v>49</v>
      </c>
      <c r="J24" s="1">
        <v>43150</v>
      </c>
      <c r="K24">
        <v>4</v>
      </c>
      <c r="L24">
        <v>98</v>
      </c>
      <c r="M24">
        <v>19</v>
      </c>
      <c r="N24" t="s">
        <v>19</v>
      </c>
      <c r="O24">
        <f t="shared" si="0"/>
        <v>625008</v>
      </c>
      <c r="P24" t="str">
        <f t="shared" si="1"/>
        <v>Senior</v>
      </c>
      <c r="Q24" t="str">
        <f t="shared" si="2"/>
        <v>Excellent</v>
      </c>
    </row>
    <row r="25" spans="1:17" x14ac:dyDescent="0.25">
      <c r="A25">
        <v>1024</v>
      </c>
      <c r="B25" t="s">
        <v>60</v>
      </c>
      <c r="C25" t="s">
        <v>15</v>
      </c>
      <c r="D25">
        <v>28</v>
      </c>
      <c r="E25" t="s">
        <v>21</v>
      </c>
      <c r="F25" t="s">
        <v>22</v>
      </c>
      <c r="G25">
        <v>79689</v>
      </c>
      <c r="H25">
        <v>13</v>
      </c>
      <c r="I25" t="s">
        <v>29</v>
      </c>
      <c r="J25" s="1">
        <v>43640</v>
      </c>
      <c r="K25">
        <v>4</v>
      </c>
      <c r="L25">
        <v>81</v>
      </c>
      <c r="M25">
        <v>16</v>
      </c>
      <c r="N25" t="s">
        <v>19</v>
      </c>
      <c r="O25">
        <f t="shared" si="0"/>
        <v>956268</v>
      </c>
      <c r="P25" t="str">
        <f t="shared" si="1"/>
        <v>Senior</v>
      </c>
      <c r="Q25" t="str">
        <f t="shared" si="2"/>
        <v>Excellent</v>
      </c>
    </row>
    <row r="26" spans="1:17" x14ac:dyDescent="0.25">
      <c r="A26">
        <v>1025</v>
      </c>
      <c r="B26" t="s">
        <v>61</v>
      </c>
      <c r="C26" t="s">
        <v>15</v>
      </c>
      <c r="D26">
        <v>24</v>
      </c>
      <c r="E26" t="s">
        <v>16</v>
      </c>
      <c r="F26" t="s">
        <v>34</v>
      </c>
      <c r="G26">
        <v>72568</v>
      </c>
      <c r="H26">
        <v>10</v>
      </c>
      <c r="I26" t="s">
        <v>55</v>
      </c>
      <c r="J26" s="1">
        <v>43601</v>
      </c>
      <c r="K26">
        <v>1</v>
      </c>
      <c r="L26">
        <v>95</v>
      </c>
      <c r="M26">
        <v>21</v>
      </c>
      <c r="N26" t="s">
        <v>19</v>
      </c>
      <c r="O26">
        <f t="shared" si="0"/>
        <v>870816</v>
      </c>
      <c r="P26" t="str">
        <f t="shared" si="1"/>
        <v>Senior</v>
      </c>
      <c r="Q26" t="str">
        <f t="shared" si="2"/>
        <v>Needs Improvement</v>
      </c>
    </row>
    <row r="27" spans="1:17" x14ac:dyDescent="0.25">
      <c r="A27">
        <v>1026</v>
      </c>
      <c r="B27" t="s">
        <v>62</v>
      </c>
      <c r="C27" t="s">
        <v>25</v>
      </c>
      <c r="D27">
        <v>36</v>
      </c>
      <c r="E27" t="s">
        <v>16</v>
      </c>
      <c r="F27" t="s">
        <v>17</v>
      </c>
      <c r="G27">
        <v>39227</v>
      </c>
      <c r="H27">
        <v>10</v>
      </c>
      <c r="I27" t="s">
        <v>23</v>
      </c>
      <c r="J27" s="1">
        <v>45295</v>
      </c>
      <c r="K27">
        <v>4</v>
      </c>
      <c r="L27">
        <v>95</v>
      </c>
      <c r="M27">
        <v>30</v>
      </c>
      <c r="N27" t="s">
        <v>19</v>
      </c>
      <c r="O27">
        <f t="shared" si="0"/>
        <v>470724</v>
      </c>
      <c r="P27" t="str">
        <f t="shared" si="1"/>
        <v>Senior</v>
      </c>
      <c r="Q27" t="str">
        <f t="shared" si="2"/>
        <v>Excellent</v>
      </c>
    </row>
    <row r="28" spans="1:17" x14ac:dyDescent="0.25">
      <c r="A28">
        <v>1027</v>
      </c>
      <c r="B28" t="s">
        <v>63</v>
      </c>
      <c r="C28" t="s">
        <v>15</v>
      </c>
      <c r="D28">
        <v>41</v>
      </c>
      <c r="E28" t="s">
        <v>16</v>
      </c>
      <c r="F28" t="s">
        <v>17</v>
      </c>
      <c r="G28">
        <v>63390</v>
      </c>
      <c r="H28">
        <v>7</v>
      </c>
      <c r="I28" t="s">
        <v>29</v>
      </c>
      <c r="J28" s="1">
        <v>43914</v>
      </c>
      <c r="K28">
        <v>1</v>
      </c>
      <c r="L28">
        <v>78</v>
      </c>
      <c r="M28">
        <v>27</v>
      </c>
      <c r="N28" t="s">
        <v>19</v>
      </c>
      <c r="O28">
        <f t="shared" si="0"/>
        <v>760680</v>
      </c>
      <c r="P28" t="str">
        <f t="shared" si="1"/>
        <v>Senior</v>
      </c>
      <c r="Q28" t="str">
        <f t="shared" si="2"/>
        <v>Needs Improvement</v>
      </c>
    </row>
    <row r="29" spans="1:17" x14ac:dyDescent="0.25">
      <c r="A29">
        <v>1028</v>
      </c>
      <c r="B29" t="s">
        <v>58</v>
      </c>
      <c r="C29" t="s">
        <v>15</v>
      </c>
      <c r="D29">
        <v>41</v>
      </c>
      <c r="E29" t="s">
        <v>21</v>
      </c>
      <c r="F29" t="s">
        <v>22</v>
      </c>
      <c r="G29">
        <v>62903</v>
      </c>
      <c r="H29">
        <v>9</v>
      </c>
      <c r="I29" t="s">
        <v>55</v>
      </c>
      <c r="J29" s="1">
        <v>43272</v>
      </c>
      <c r="K29">
        <v>1</v>
      </c>
      <c r="L29">
        <v>84</v>
      </c>
      <c r="M29">
        <v>7</v>
      </c>
      <c r="N29" t="s">
        <v>40</v>
      </c>
      <c r="O29">
        <f t="shared" si="0"/>
        <v>754836</v>
      </c>
      <c r="P29" t="str">
        <f t="shared" si="1"/>
        <v>Senior</v>
      </c>
      <c r="Q29" t="str">
        <f t="shared" si="2"/>
        <v>Needs Improvement</v>
      </c>
    </row>
    <row r="30" spans="1:17" x14ac:dyDescent="0.25">
      <c r="A30">
        <v>1029</v>
      </c>
      <c r="B30" t="s">
        <v>64</v>
      </c>
      <c r="C30" t="s">
        <v>15</v>
      </c>
      <c r="D30">
        <v>31</v>
      </c>
      <c r="E30" t="s">
        <v>27</v>
      </c>
      <c r="F30" t="s">
        <v>28</v>
      </c>
      <c r="G30">
        <v>74192</v>
      </c>
      <c r="H30">
        <v>11</v>
      </c>
      <c r="I30" t="s">
        <v>49</v>
      </c>
      <c r="J30" s="1">
        <v>44531</v>
      </c>
      <c r="K30">
        <v>4</v>
      </c>
      <c r="L30">
        <v>95</v>
      </c>
      <c r="M30">
        <v>20</v>
      </c>
      <c r="N30" t="s">
        <v>19</v>
      </c>
      <c r="O30">
        <f t="shared" si="0"/>
        <v>890304</v>
      </c>
      <c r="P30" t="str">
        <f t="shared" si="1"/>
        <v>Senior</v>
      </c>
      <c r="Q30" t="str">
        <f t="shared" si="2"/>
        <v>Excellent</v>
      </c>
    </row>
    <row r="31" spans="1:17" x14ac:dyDescent="0.25">
      <c r="A31">
        <v>1030</v>
      </c>
      <c r="B31" t="s">
        <v>65</v>
      </c>
      <c r="C31" t="s">
        <v>25</v>
      </c>
      <c r="D31">
        <v>31</v>
      </c>
      <c r="E31" t="s">
        <v>27</v>
      </c>
      <c r="F31" t="s">
        <v>51</v>
      </c>
      <c r="G31">
        <v>66436</v>
      </c>
      <c r="H31">
        <v>12</v>
      </c>
      <c r="I31" t="s">
        <v>29</v>
      </c>
      <c r="J31" s="1">
        <v>44660</v>
      </c>
      <c r="K31">
        <v>4</v>
      </c>
      <c r="L31">
        <v>88</v>
      </c>
      <c r="M31">
        <v>11</v>
      </c>
      <c r="N31" t="s">
        <v>19</v>
      </c>
      <c r="O31">
        <f t="shared" si="0"/>
        <v>797232</v>
      </c>
      <c r="P31" t="str">
        <f t="shared" si="1"/>
        <v>Senior</v>
      </c>
      <c r="Q31" t="str">
        <f t="shared" si="2"/>
        <v>Excellent</v>
      </c>
    </row>
    <row r="32" spans="1:17" x14ac:dyDescent="0.25">
      <c r="A32">
        <v>1031</v>
      </c>
      <c r="B32" t="s">
        <v>66</v>
      </c>
      <c r="C32" t="s">
        <v>15</v>
      </c>
      <c r="D32">
        <v>26</v>
      </c>
      <c r="E32" t="s">
        <v>27</v>
      </c>
      <c r="F32" t="s">
        <v>51</v>
      </c>
      <c r="G32">
        <v>31091</v>
      </c>
      <c r="H32">
        <v>3</v>
      </c>
      <c r="I32" t="s">
        <v>29</v>
      </c>
      <c r="J32" s="1">
        <v>44939</v>
      </c>
      <c r="K32">
        <v>4</v>
      </c>
      <c r="L32">
        <v>76</v>
      </c>
      <c r="M32">
        <v>11</v>
      </c>
      <c r="N32" t="s">
        <v>19</v>
      </c>
      <c r="O32">
        <f t="shared" si="0"/>
        <v>373092</v>
      </c>
      <c r="P32" t="str">
        <f t="shared" si="1"/>
        <v>Mid-Level</v>
      </c>
      <c r="Q32" t="str">
        <f t="shared" si="2"/>
        <v>Excellent</v>
      </c>
    </row>
    <row r="33" spans="1:17" x14ac:dyDescent="0.25">
      <c r="A33">
        <v>1032</v>
      </c>
      <c r="B33" t="s">
        <v>67</v>
      </c>
      <c r="C33" t="s">
        <v>25</v>
      </c>
      <c r="D33">
        <v>36</v>
      </c>
      <c r="E33" t="s">
        <v>27</v>
      </c>
      <c r="F33" t="s">
        <v>51</v>
      </c>
      <c r="G33">
        <v>69762</v>
      </c>
      <c r="H33">
        <v>10</v>
      </c>
      <c r="I33" t="s">
        <v>29</v>
      </c>
      <c r="J33" s="1">
        <v>43538</v>
      </c>
      <c r="K33">
        <v>4</v>
      </c>
      <c r="L33">
        <v>80</v>
      </c>
      <c r="M33">
        <v>17</v>
      </c>
      <c r="N33" t="s">
        <v>19</v>
      </c>
      <c r="O33">
        <f t="shared" si="0"/>
        <v>837144</v>
      </c>
      <c r="P33" t="str">
        <f t="shared" si="1"/>
        <v>Senior</v>
      </c>
      <c r="Q33" t="str">
        <f t="shared" si="2"/>
        <v>Excellent</v>
      </c>
    </row>
    <row r="34" spans="1:17" x14ac:dyDescent="0.25">
      <c r="A34">
        <v>1033</v>
      </c>
      <c r="B34" t="s">
        <v>68</v>
      </c>
      <c r="C34" t="s">
        <v>25</v>
      </c>
      <c r="D34">
        <v>36</v>
      </c>
      <c r="E34" t="s">
        <v>36</v>
      </c>
      <c r="F34" t="s">
        <v>57</v>
      </c>
      <c r="G34">
        <v>84746</v>
      </c>
      <c r="H34">
        <v>2</v>
      </c>
      <c r="I34" t="s">
        <v>49</v>
      </c>
      <c r="J34" s="1">
        <v>43244</v>
      </c>
      <c r="K34">
        <v>3</v>
      </c>
      <c r="L34">
        <v>83</v>
      </c>
      <c r="M34">
        <v>15</v>
      </c>
      <c r="N34" t="s">
        <v>19</v>
      </c>
      <c r="O34">
        <f t="shared" si="0"/>
        <v>1016952</v>
      </c>
      <c r="P34" t="str">
        <f t="shared" si="1"/>
        <v>Junior</v>
      </c>
      <c r="Q34" t="str">
        <f t="shared" si="2"/>
        <v>Needs Improvement</v>
      </c>
    </row>
    <row r="35" spans="1:17" x14ac:dyDescent="0.25">
      <c r="A35">
        <v>1034</v>
      </c>
      <c r="B35" t="s">
        <v>14</v>
      </c>
      <c r="C35" t="s">
        <v>25</v>
      </c>
      <c r="D35">
        <v>26</v>
      </c>
      <c r="E35" t="s">
        <v>27</v>
      </c>
      <c r="F35" t="s">
        <v>28</v>
      </c>
      <c r="G35">
        <v>37947</v>
      </c>
      <c r="H35">
        <v>14</v>
      </c>
      <c r="I35" t="s">
        <v>55</v>
      </c>
      <c r="J35" s="1">
        <v>45131</v>
      </c>
      <c r="K35">
        <v>3</v>
      </c>
      <c r="L35">
        <v>76</v>
      </c>
      <c r="M35">
        <v>20</v>
      </c>
      <c r="N35" t="s">
        <v>19</v>
      </c>
      <c r="O35">
        <f t="shared" si="0"/>
        <v>455364</v>
      </c>
      <c r="P35" t="str">
        <f t="shared" si="1"/>
        <v>Senior</v>
      </c>
      <c r="Q35" t="str">
        <f t="shared" si="2"/>
        <v>Needs Improvement</v>
      </c>
    </row>
    <row r="36" spans="1:17" x14ac:dyDescent="0.25">
      <c r="A36">
        <v>1035</v>
      </c>
      <c r="B36" t="s">
        <v>69</v>
      </c>
      <c r="C36" t="s">
        <v>25</v>
      </c>
      <c r="D36">
        <v>24</v>
      </c>
      <c r="E36" t="s">
        <v>27</v>
      </c>
      <c r="F36" t="s">
        <v>28</v>
      </c>
      <c r="G36">
        <v>85133</v>
      </c>
      <c r="H36">
        <v>9</v>
      </c>
      <c r="I36" t="s">
        <v>49</v>
      </c>
      <c r="J36" s="1">
        <v>45203</v>
      </c>
      <c r="K36">
        <v>2</v>
      </c>
      <c r="L36">
        <v>91</v>
      </c>
      <c r="M36">
        <v>17</v>
      </c>
      <c r="N36" t="s">
        <v>19</v>
      </c>
      <c r="O36">
        <f t="shared" si="0"/>
        <v>1021596</v>
      </c>
      <c r="P36" t="str">
        <f t="shared" si="1"/>
        <v>Senior</v>
      </c>
      <c r="Q36" t="str">
        <f t="shared" si="2"/>
        <v>Needs Improvement</v>
      </c>
    </row>
    <row r="37" spans="1:17" x14ac:dyDescent="0.25">
      <c r="A37">
        <v>1036</v>
      </c>
      <c r="B37" t="s">
        <v>42</v>
      </c>
      <c r="C37" t="s">
        <v>15</v>
      </c>
      <c r="D37">
        <v>35</v>
      </c>
      <c r="E37" t="s">
        <v>36</v>
      </c>
      <c r="F37" t="s">
        <v>57</v>
      </c>
      <c r="G37">
        <v>77558</v>
      </c>
      <c r="H37">
        <v>1</v>
      </c>
      <c r="I37" t="s">
        <v>18</v>
      </c>
      <c r="J37" s="1">
        <v>45943</v>
      </c>
      <c r="K37">
        <v>1</v>
      </c>
      <c r="L37">
        <v>86</v>
      </c>
      <c r="M37">
        <v>10</v>
      </c>
      <c r="N37" t="s">
        <v>19</v>
      </c>
      <c r="O37">
        <f t="shared" si="0"/>
        <v>930696</v>
      </c>
      <c r="P37" t="str">
        <f t="shared" si="1"/>
        <v>Junior</v>
      </c>
      <c r="Q37" t="str">
        <f t="shared" si="2"/>
        <v>Needs Improvement</v>
      </c>
    </row>
    <row r="38" spans="1:17" x14ac:dyDescent="0.25">
      <c r="A38">
        <v>1037</v>
      </c>
      <c r="B38" t="s">
        <v>70</v>
      </c>
      <c r="C38" t="s">
        <v>15</v>
      </c>
      <c r="D38">
        <v>34</v>
      </c>
      <c r="E38" t="s">
        <v>27</v>
      </c>
      <c r="F38" t="s">
        <v>28</v>
      </c>
      <c r="G38">
        <v>70609</v>
      </c>
      <c r="H38">
        <v>15</v>
      </c>
      <c r="I38" t="s">
        <v>55</v>
      </c>
      <c r="J38" s="1">
        <v>43300</v>
      </c>
      <c r="K38">
        <v>3</v>
      </c>
      <c r="L38">
        <v>92</v>
      </c>
      <c r="M38">
        <v>8</v>
      </c>
      <c r="N38" t="s">
        <v>19</v>
      </c>
      <c r="O38">
        <f t="shared" si="0"/>
        <v>847308</v>
      </c>
      <c r="P38" t="str">
        <f t="shared" si="1"/>
        <v>Senior</v>
      </c>
      <c r="Q38" t="str">
        <f t="shared" si="2"/>
        <v>Needs Improvement</v>
      </c>
    </row>
    <row r="39" spans="1:17" x14ac:dyDescent="0.25">
      <c r="A39">
        <v>1038</v>
      </c>
      <c r="B39" t="s">
        <v>71</v>
      </c>
      <c r="C39" t="s">
        <v>15</v>
      </c>
      <c r="D39">
        <v>36</v>
      </c>
      <c r="E39" t="s">
        <v>36</v>
      </c>
      <c r="F39" t="s">
        <v>72</v>
      </c>
      <c r="G39">
        <v>70253</v>
      </c>
      <c r="H39">
        <v>1</v>
      </c>
      <c r="I39" t="s">
        <v>55</v>
      </c>
      <c r="J39" s="1">
        <v>45471</v>
      </c>
      <c r="K39">
        <v>4</v>
      </c>
      <c r="L39">
        <v>100</v>
      </c>
      <c r="M39">
        <v>14</v>
      </c>
      <c r="N39" t="s">
        <v>40</v>
      </c>
      <c r="O39">
        <f t="shared" si="0"/>
        <v>843036</v>
      </c>
      <c r="P39" t="str">
        <f t="shared" si="1"/>
        <v>Junior</v>
      </c>
      <c r="Q39" t="str">
        <f t="shared" si="2"/>
        <v>Excellent</v>
      </c>
    </row>
    <row r="40" spans="1:17" x14ac:dyDescent="0.25">
      <c r="A40">
        <v>1039</v>
      </c>
      <c r="B40" t="s">
        <v>68</v>
      </c>
      <c r="C40" t="s">
        <v>15</v>
      </c>
      <c r="D40">
        <v>41</v>
      </c>
      <c r="E40" t="s">
        <v>27</v>
      </c>
      <c r="F40" t="s">
        <v>28</v>
      </c>
      <c r="G40">
        <v>48942</v>
      </c>
      <c r="H40">
        <v>15</v>
      </c>
      <c r="I40" t="s">
        <v>29</v>
      </c>
      <c r="J40" s="1">
        <v>45672</v>
      </c>
      <c r="K40">
        <v>4</v>
      </c>
      <c r="L40">
        <v>82</v>
      </c>
      <c r="M40">
        <v>4</v>
      </c>
      <c r="N40" t="s">
        <v>19</v>
      </c>
      <c r="O40">
        <f t="shared" si="0"/>
        <v>587304</v>
      </c>
      <c r="P40" t="str">
        <f t="shared" si="1"/>
        <v>Senior</v>
      </c>
      <c r="Q40" t="str">
        <f t="shared" si="2"/>
        <v>Excellent</v>
      </c>
    </row>
    <row r="41" spans="1:17" x14ac:dyDescent="0.25">
      <c r="A41">
        <v>1040</v>
      </c>
      <c r="B41" t="s">
        <v>38</v>
      </c>
      <c r="C41" t="s">
        <v>25</v>
      </c>
      <c r="D41">
        <v>26</v>
      </c>
      <c r="E41" t="s">
        <v>36</v>
      </c>
      <c r="F41" t="s">
        <v>57</v>
      </c>
      <c r="G41">
        <v>33535</v>
      </c>
      <c r="H41">
        <v>7</v>
      </c>
      <c r="I41" t="s">
        <v>49</v>
      </c>
      <c r="J41" s="1">
        <v>44329</v>
      </c>
      <c r="K41">
        <v>3</v>
      </c>
      <c r="L41">
        <v>75</v>
      </c>
      <c r="M41">
        <v>8</v>
      </c>
      <c r="N41" t="s">
        <v>19</v>
      </c>
      <c r="O41">
        <f t="shared" si="0"/>
        <v>402420</v>
      </c>
      <c r="P41" t="str">
        <f t="shared" si="1"/>
        <v>Senior</v>
      </c>
      <c r="Q41" t="str">
        <f t="shared" si="2"/>
        <v>Needs Improvement</v>
      </c>
    </row>
    <row r="42" spans="1:17" x14ac:dyDescent="0.25">
      <c r="A42">
        <v>1041</v>
      </c>
      <c r="B42" t="s">
        <v>73</v>
      </c>
      <c r="C42" t="s">
        <v>15</v>
      </c>
      <c r="D42">
        <v>33</v>
      </c>
      <c r="E42" t="s">
        <v>31</v>
      </c>
      <c r="F42" t="s">
        <v>32</v>
      </c>
      <c r="G42">
        <v>84326</v>
      </c>
      <c r="H42">
        <v>8</v>
      </c>
      <c r="I42" t="s">
        <v>29</v>
      </c>
      <c r="J42" s="1">
        <v>43398</v>
      </c>
      <c r="K42">
        <v>5</v>
      </c>
      <c r="L42">
        <v>75</v>
      </c>
      <c r="M42">
        <v>2</v>
      </c>
      <c r="N42" t="s">
        <v>19</v>
      </c>
      <c r="O42">
        <f t="shared" si="0"/>
        <v>1011912</v>
      </c>
      <c r="P42" t="str">
        <f t="shared" si="1"/>
        <v>Senior</v>
      </c>
      <c r="Q42" t="str">
        <f t="shared" si="2"/>
        <v>Excellent</v>
      </c>
    </row>
    <row r="43" spans="1:17" x14ac:dyDescent="0.25">
      <c r="A43">
        <v>1042</v>
      </c>
      <c r="B43" t="s">
        <v>74</v>
      </c>
      <c r="C43" t="s">
        <v>15</v>
      </c>
      <c r="D43">
        <v>36</v>
      </c>
      <c r="E43" t="s">
        <v>31</v>
      </c>
      <c r="F43" t="s">
        <v>32</v>
      </c>
      <c r="G43">
        <v>56164</v>
      </c>
      <c r="H43">
        <v>6</v>
      </c>
      <c r="I43" t="s">
        <v>18</v>
      </c>
      <c r="J43" s="1">
        <v>43298</v>
      </c>
      <c r="K43">
        <v>5</v>
      </c>
      <c r="L43">
        <v>91</v>
      </c>
      <c r="M43">
        <v>8</v>
      </c>
      <c r="N43" t="s">
        <v>19</v>
      </c>
      <c r="O43">
        <f t="shared" si="0"/>
        <v>673968</v>
      </c>
      <c r="P43" t="str">
        <f t="shared" si="1"/>
        <v>Mid-Level</v>
      </c>
      <c r="Q43" t="str">
        <f t="shared" si="2"/>
        <v>Excellent</v>
      </c>
    </row>
    <row r="44" spans="1:17" x14ac:dyDescent="0.25">
      <c r="A44">
        <v>1043</v>
      </c>
      <c r="B44" t="s">
        <v>75</v>
      </c>
      <c r="C44" t="s">
        <v>25</v>
      </c>
      <c r="D44">
        <v>22</v>
      </c>
      <c r="E44" t="s">
        <v>27</v>
      </c>
      <c r="F44" t="s">
        <v>28</v>
      </c>
      <c r="G44">
        <v>63628</v>
      </c>
      <c r="H44">
        <v>15</v>
      </c>
      <c r="I44" t="s">
        <v>55</v>
      </c>
      <c r="J44" s="1">
        <v>44464</v>
      </c>
      <c r="K44">
        <v>3</v>
      </c>
      <c r="L44">
        <v>89</v>
      </c>
      <c r="M44">
        <v>19</v>
      </c>
      <c r="N44" t="s">
        <v>19</v>
      </c>
      <c r="O44">
        <f t="shared" si="0"/>
        <v>763536</v>
      </c>
      <c r="P44" t="str">
        <f t="shared" si="1"/>
        <v>Senior</v>
      </c>
      <c r="Q44" t="str">
        <f t="shared" si="2"/>
        <v>Needs Improvement</v>
      </c>
    </row>
    <row r="45" spans="1:17" x14ac:dyDescent="0.25">
      <c r="A45">
        <v>1044</v>
      </c>
      <c r="B45" t="s">
        <v>76</v>
      </c>
      <c r="C45" t="s">
        <v>15</v>
      </c>
      <c r="D45">
        <v>35</v>
      </c>
      <c r="E45" t="s">
        <v>31</v>
      </c>
      <c r="F45" t="s">
        <v>32</v>
      </c>
      <c r="G45">
        <v>69881</v>
      </c>
      <c r="H45">
        <v>2</v>
      </c>
      <c r="I45" t="s">
        <v>29</v>
      </c>
      <c r="J45" s="1">
        <v>45048</v>
      </c>
      <c r="K45">
        <v>4</v>
      </c>
      <c r="L45">
        <v>79</v>
      </c>
      <c r="M45">
        <v>6</v>
      </c>
      <c r="N45" t="s">
        <v>19</v>
      </c>
      <c r="O45">
        <f t="shared" si="0"/>
        <v>838572</v>
      </c>
      <c r="P45" t="str">
        <f t="shared" si="1"/>
        <v>Junior</v>
      </c>
      <c r="Q45" t="str">
        <f t="shared" si="2"/>
        <v>Excellent</v>
      </c>
    </row>
    <row r="46" spans="1:17" x14ac:dyDescent="0.25">
      <c r="A46">
        <v>1045</v>
      </c>
      <c r="B46" t="s">
        <v>77</v>
      </c>
      <c r="C46" t="s">
        <v>15</v>
      </c>
      <c r="D46">
        <v>38</v>
      </c>
      <c r="E46" t="s">
        <v>27</v>
      </c>
      <c r="F46" t="s">
        <v>28</v>
      </c>
      <c r="G46">
        <v>31086</v>
      </c>
      <c r="H46">
        <v>11</v>
      </c>
      <c r="I46" t="s">
        <v>18</v>
      </c>
      <c r="J46" s="1">
        <v>43569</v>
      </c>
      <c r="K46">
        <v>3</v>
      </c>
      <c r="L46">
        <v>98</v>
      </c>
      <c r="M46">
        <v>16</v>
      </c>
      <c r="N46" t="s">
        <v>40</v>
      </c>
      <c r="O46">
        <f t="shared" si="0"/>
        <v>373032</v>
      </c>
      <c r="P46" t="str">
        <f t="shared" si="1"/>
        <v>Senior</v>
      </c>
      <c r="Q46" t="str">
        <f t="shared" si="2"/>
        <v>Needs Improvement</v>
      </c>
    </row>
    <row r="47" spans="1:17" x14ac:dyDescent="0.25">
      <c r="A47">
        <v>1046</v>
      </c>
      <c r="B47" t="s">
        <v>78</v>
      </c>
      <c r="C47" t="s">
        <v>15</v>
      </c>
      <c r="D47">
        <v>44</v>
      </c>
      <c r="E47" t="s">
        <v>16</v>
      </c>
      <c r="F47" t="s">
        <v>59</v>
      </c>
      <c r="G47">
        <v>36246</v>
      </c>
      <c r="H47">
        <v>1</v>
      </c>
      <c r="I47" t="s">
        <v>23</v>
      </c>
      <c r="J47" s="1">
        <v>44792</v>
      </c>
      <c r="K47">
        <v>2</v>
      </c>
      <c r="L47">
        <v>82</v>
      </c>
      <c r="M47">
        <v>12</v>
      </c>
      <c r="N47" t="s">
        <v>19</v>
      </c>
      <c r="O47">
        <f t="shared" si="0"/>
        <v>434952</v>
      </c>
      <c r="P47" t="str">
        <f t="shared" si="1"/>
        <v>Junior</v>
      </c>
      <c r="Q47" t="str">
        <f t="shared" si="2"/>
        <v>Needs Improvement</v>
      </c>
    </row>
    <row r="48" spans="1:17" x14ac:dyDescent="0.25">
      <c r="A48">
        <v>1047</v>
      </c>
      <c r="B48" t="s">
        <v>20</v>
      </c>
      <c r="C48" t="s">
        <v>25</v>
      </c>
      <c r="D48">
        <v>36</v>
      </c>
      <c r="E48" t="s">
        <v>36</v>
      </c>
      <c r="F48" t="s">
        <v>72</v>
      </c>
      <c r="G48">
        <v>86875</v>
      </c>
      <c r="H48">
        <v>12</v>
      </c>
      <c r="I48" t="s">
        <v>23</v>
      </c>
      <c r="J48" s="1">
        <v>45747</v>
      </c>
      <c r="K48">
        <v>4</v>
      </c>
      <c r="L48">
        <v>82</v>
      </c>
      <c r="M48">
        <v>15</v>
      </c>
      <c r="N48" t="s">
        <v>40</v>
      </c>
      <c r="O48">
        <f t="shared" si="0"/>
        <v>1042500</v>
      </c>
      <c r="P48" t="str">
        <f t="shared" si="1"/>
        <v>Senior</v>
      </c>
      <c r="Q48" t="str">
        <f t="shared" si="2"/>
        <v>Excellent</v>
      </c>
    </row>
    <row r="49" spans="1:17" x14ac:dyDescent="0.25">
      <c r="A49">
        <v>1048</v>
      </c>
      <c r="B49" t="s">
        <v>79</v>
      </c>
      <c r="C49" t="s">
        <v>25</v>
      </c>
      <c r="D49">
        <v>44</v>
      </c>
      <c r="E49" t="s">
        <v>36</v>
      </c>
      <c r="F49" t="s">
        <v>72</v>
      </c>
      <c r="G49">
        <v>32961</v>
      </c>
      <c r="H49">
        <v>6</v>
      </c>
      <c r="I49" t="s">
        <v>49</v>
      </c>
      <c r="J49" s="1">
        <v>45864</v>
      </c>
      <c r="K49">
        <v>5</v>
      </c>
      <c r="L49">
        <v>91</v>
      </c>
      <c r="M49">
        <v>25</v>
      </c>
      <c r="N49" t="s">
        <v>40</v>
      </c>
      <c r="O49">
        <f t="shared" si="0"/>
        <v>395532</v>
      </c>
      <c r="P49" t="str">
        <f t="shared" si="1"/>
        <v>Mid-Level</v>
      </c>
      <c r="Q49" t="str">
        <f t="shared" si="2"/>
        <v>Excellent</v>
      </c>
    </row>
    <row r="50" spans="1:17" x14ac:dyDescent="0.25">
      <c r="A50">
        <v>1049</v>
      </c>
      <c r="B50" t="s">
        <v>80</v>
      </c>
      <c r="C50" t="s">
        <v>25</v>
      </c>
      <c r="D50">
        <v>22</v>
      </c>
      <c r="E50" t="s">
        <v>16</v>
      </c>
      <c r="F50" t="s">
        <v>34</v>
      </c>
      <c r="G50">
        <v>41313</v>
      </c>
      <c r="H50">
        <v>7</v>
      </c>
      <c r="I50" t="s">
        <v>18</v>
      </c>
      <c r="J50" s="1">
        <v>44081</v>
      </c>
      <c r="K50">
        <v>2</v>
      </c>
      <c r="L50">
        <v>88</v>
      </c>
      <c r="M50">
        <v>27</v>
      </c>
      <c r="N50" t="s">
        <v>19</v>
      </c>
      <c r="O50">
        <f t="shared" si="0"/>
        <v>495756</v>
      </c>
      <c r="P50" t="str">
        <f t="shared" si="1"/>
        <v>Senior</v>
      </c>
      <c r="Q50" t="str">
        <f t="shared" si="2"/>
        <v>Needs Improvement</v>
      </c>
    </row>
    <row r="51" spans="1:17" x14ac:dyDescent="0.25">
      <c r="A51">
        <v>1050</v>
      </c>
      <c r="B51" t="s">
        <v>78</v>
      </c>
      <c r="C51" t="s">
        <v>25</v>
      </c>
      <c r="D51">
        <v>43</v>
      </c>
      <c r="E51" t="s">
        <v>36</v>
      </c>
      <c r="F51" t="s">
        <v>72</v>
      </c>
      <c r="G51">
        <v>34595</v>
      </c>
      <c r="H51">
        <v>12</v>
      </c>
      <c r="I51" t="s">
        <v>23</v>
      </c>
      <c r="J51" s="1">
        <v>45590</v>
      </c>
      <c r="K51">
        <v>5</v>
      </c>
      <c r="L51">
        <v>83</v>
      </c>
      <c r="M51">
        <v>14</v>
      </c>
      <c r="N51" t="s">
        <v>19</v>
      </c>
      <c r="O51">
        <f t="shared" si="0"/>
        <v>415140</v>
      </c>
      <c r="P51" t="str">
        <f t="shared" si="1"/>
        <v>Senior</v>
      </c>
      <c r="Q51" t="str">
        <f t="shared" si="2"/>
        <v>Excellent</v>
      </c>
    </row>
    <row r="52" spans="1:17" x14ac:dyDescent="0.25">
      <c r="A52">
        <v>1051</v>
      </c>
      <c r="B52" t="s">
        <v>81</v>
      </c>
      <c r="C52" t="s">
        <v>15</v>
      </c>
      <c r="D52">
        <v>25</v>
      </c>
      <c r="E52" t="s">
        <v>36</v>
      </c>
      <c r="F52" t="s">
        <v>72</v>
      </c>
      <c r="G52">
        <v>56274</v>
      </c>
      <c r="H52">
        <v>10</v>
      </c>
      <c r="I52" t="s">
        <v>29</v>
      </c>
      <c r="J52" s="1">
        <v>43296</v>
      </c>
      <c r="K52">
        <v>2</v>
      </c>
      <c r="L52">
        <v>96</v>
      </c>
      <c r="M52">
        <v>20</v>
      </c>
      <c r="N52" t="s">
        <v>19</v>
      </c>
      <c r="O52">
        <f t="shared" si="0"/>
        <v>675288</v>
      </c>
      <c r="P52" t="str">
        <f t="shared" si="1"/>
        <v>Senior</v>
      </c>
      <c r="Q52" t="str">
        <f t="shared" si="2"/>
        <v>Needs Improvement</v>
      </c>
    </row>
    <row r="53" spans="1:17" x14ac:dyDescent="0.25">
      <c r="A53">
        <v>1052</v>
      </c>
      <c r="B53" t="s">
        <v>82</v>
      </c>
      <c r="C53" t="s">
        <v>15</v>
      </c>
      <c r="D53">
        <v>41</v>
      </c>
      <c r="E53" t="s">
        <v>27</v>
      </c>
      <c r="F53" t="s">
        <v>51</v>
      </c>
      <c r="G53">
        <v>60536</v>
      </c>
      <c r="H53">
        <v>13</v>
      </c>
      <c r="I53" t="s">
        <v>29</v>
      </c>
      <c r="J53" s="1">
        <v>45728</v>
      </c>
      <c r="K53">
        <v>2</v>
      </c>
      <c r="L53">
        <v>91</v>
      </c>
      <c r="M53">
        <v>6</v>
      </c>
      <c r="N53" t="s">
        <v>40</v>
      </c>
      <c r="O53">
        <f t="shared" si="0"/>
        <v>726432</v>
      </c>
      <c r="P53" t="str">
        <f t="shared" si="1"/>
        <v>Senior</v>
      </c>
      <c r="Q53" t="str">
        <f t="shared" si="2"/>
        <v>Needs Improvement</v>
      </c>
    </row>
    <row r="54" spans="1:17" x14ac:dyDescent="0.25">
      <c r="A54">
        <v>1053</v>
      </c>
      <c r="B54" t="s">
        <v>83</v>
      </c>
      <c r="C54" t="s">
        <v>15</v>
      </c>
      <c r="D54">
        <v>44</v>
      </c>
      <c r="E54" t="s">
        <v>36</v>
      </c>
      <c r="F54" t="s">
        <v>37</v>
      </c>
      <c r="G54">
        <v>86729</v>
      </c>
      <c r="H54">
        <v>15</v>
      </c>
      <c r="I54" t="s">
        <v>49</v>
      </c>
      <c r="J54" s="1">
        <v>44619</v>
      </c>
      <c r="K54">
        <v>1</v>
      </c>
      <c r="L54">
        <v>96</v>
      </c>
      <c r="M54">
        <v>21</v>
      </c>
      <c r="N54" t="s">
        <v>19</v>
      </c>
      <c r="O54">
        <f t="shared" si="0"/>
        <v>1040748</v>
      </c>
      <c r="P54" t="str">
        <f t="shared" si="1"/>
        <v>Senior</v>
      </c>
      <c r="Q54" t="str">
        <f t="shared" si="2"/>
        <v>Needs Improvement</v>
      </c>
    </row>
    <row r="55" spans="1:17" x14ac:dyDescent="0.25">
      <c r="A55">
        <v>1054</v>
      </c>
      <c r="B55" t="s">
        <v>84</v>
      </c>
      <c r="C55" t="s">
        <v>15</v>
      </c>
      <c r="D55">
        <v>25</v>
      </c>
      <c r="E55" t="s">
        <v>21</v>
      </c>
      <c r="F55" t="s">
        <v>46</v>
      </c>
      <c r="G55">
        <v>81052</v>
      </c>
      <c r="H55">
        <v>5</v>
      </c>
      <c r="I55" t="s">
        <v>49</v>
      </c>
      <c r="J55" s="1">
        <v>43775</v>
      </c>
      <c r="K55">
        <v>1</v>
      </c>
      <c r="L55">
        <v>94</v>
      </c>
      <c r="M55">
        <v>19</v>
      </c>
      <c r="N55" t="s">
        <v>19</v>
      </c>
      <c r="O55">
        <f t="shared" si="0"/>
        <v>972624</v>
      </c>
      <c r="P55" t="str">
        <f t="shared" si="1"/>
        <v>Mid-Level</v>
      </c>
      <c r="Q55" t="str">
        <f t="shared" si="2"/>
        <v>Needs Improvement</v>
      </c>
    </row>
    <row r="56" spans="1:17" x14ac:dyDescent="0.25">
      <c r="A56">
        <v>1055</v>
      </c>
      <c r="B56" t="s">
        <v>85</v>
      </c>
      <c r="C56" t="s">
        <v>15</v>
      </c>
      <c r="D56">
        <v>34</v>
      </c>
      <c r="E56" t="s">
        <v>31</v>
      </c>
      <c r="F56" t="s">
        <v>43</v>
      </c>
      <c r="G56">
        <v>40601</v>
      </c>
      <c r="H56">
        <v>7</v>
      </c>
      <c r="I56" t="s">
        <v>29</v>
      </c>
      <c r="J56" s="1">
        <v>45916</v>
      </c>
      <c r="K56">
        <v>5</v>
      </c>
      <c r="L56">
        <v>79</v>
      </c>
      <c r="M56">
        <v>10</v>
      </c>
      <c r="N56" t="s">
        <v>19</v>
      </c>
      <c r="O56">
        <f t="shared" si="0"/>
        <v>487212</v>
      </c>
      <c r="P56" t="str">
        <f t="shared" si="1"/>
        <v>Senior</v>
      </c>
      <c r="Q56" t="str">
        <f t="shared" si="2"/>
        <v>Excellent</v>
      </c>
    </row>
    <row r="57" spans="1:17" x14ac:dyDescent="0.25">
      <c r="A57">
        <v>1056</v>
      </c>
      <c r="B57" t="s">
        <v>65</v>
      </c>
      <c r="C57" t="s">
        <v>25</v>
      </c>
      <c r="D57">
        <v>43</v>
      </c>
      <c r="E57" t="s">
        <v>31</v>
      </c>
      <c r="F57" t="s">
        <v>43</v>
      </c>
      <c r="G57">
        <v>58177</v>
      </c>
      <c r="H57">
        <v>1</v>
      </c>
      <c r="I57" t="s">
        <v>55</v>
      </c>
      <c r="J57" s="1">
        <v>44325</v>
      </c>
      <c r="K57">
        <v>1</v>
      </c>
      <c r="L57">
        <v>79</v>
      </c>
      <c r="M57">
        <v>20</v>
      </c>
      <c r="N57" t="s">
        <v>19</v>
      </c>
      <c r="O57">
        <f t="shared" si="0"/>
        <v>698124</v>
      </c>
      <c r="P57" t="str">
        <f t="shared" si="1"/>
        <v>Junior</v>
      </c>
      <c r="Q57" t="str">
        <f t="shared" si="2"/>
        <v>Needs Improvement</v>
      </c>
    </row>
    <row r="58" spans="1:17" x14ac:dyDescent="0.25">
      <c r="A58">
        <v>1057</v>
      </c>
      <c r="B58" t="s">
        <v>86</v>
      </c>
      <c r="C58" t="s">
        <v>15</v>
      </c>
      <c r="D58">
        <v>28</v>
      </c>
      <c r="E58" t="s">
        <v>31</v>
      </c>
      <c r="F58" t="s">
        <v>32</v>
      </c>
      <c r="G58">
        <v>66909</v>
      </c>
      <c r="H58">
        <v>1</v>
      </c>
      <c r="I58" t="s">
        <v>18</v>
      </c>
      <c r="J58" s="1">
        <v>45661</v>
      </c>
      <c r="K58">
        <v>4</v>
      </c>
      <c r="L58">
        <v>90</v>
      </c>
      <c r="M58">
        <v>1</v>
      </c>
      <c r="N58" t="s">
        <v>19</v>
      </c>
      <c r="O58">
        <f t="shared" si="0"/>
        <v>802908</v>
      </c>
      <c r="P58" t="str">
        <f t="shared" si="1"/>
        <v>Junior</v>
      </c>
      <c r="Q58" t="str">
        <f t="shared" si="2"/>
        <v>Excellent</v>
      </c>
    </row>
    <row r="59" spans="1:17" x14ac:dyDescent="0.25">
      <c r="A59">
        <v>1058</v>
      </c>
      <c r="B59" t="s">
        <v>87</v>
      </c>
      <c r="C59" t="s">
        <v>25</v>
      </c>
      <c r="D59">
        <v>26</v>
      </c>
      <c r="E59" t="s">
        <v>27</v>
      </c>
      <c r="F59" t="s">
        <v>28</v>
      </c>
      <c r="G59">
        <v>38759</v>
      </c>
      <c r="H59">
        <v>15</v>
      </c>
      <c r="I59" t="s">
        <v>49</v>
      </c>
      <c r="J59" s="1">
        <v>44678</v>
      </c>
      <c r="K59">
        <v>4</v>
      </c>
      <c r="L59">
        <v>100</v>
      </c>
      <c r="M59">
        <v>26</v>
      </c>
      <c r="N59" t="s">
        <v>19</v>
      </c>
      <c r="O59">
        <f t="shared" si="0"/>
        <v>465108</v>
      </c>
      <c r="P59" t="str">
        <f t="shared" si="1"/>
        <v>Senior</v>
      </c>
      <c r="Q59" t="str">
        <f t="shared" si="2"/>
        <v>Excellent</v>
      </c>
    </row>
    <row r="60" spans="1:17" x14ac:dyDescent="0.25">
      <c r="A60">
        <v>1059</v>
      </c>
      <c r="B60" t="s">
        <v>88</v>
      </c>
      <c r="C60" t="s">
        <v>25</v>
      </c>
      <c r="D60">
        <v>29</v>
      </c>
      <c r="E60" t="s">
        <v>16</v>
      </c>
      <c r="F60" t="s">
        <v>17</v>
      </c>
      <c r="G60">
        <v>89659</v>
      </c>
      <c r="H60">
        <v>13</v>
      </c>
      <c r="I60" t="s">
        <v>55</v>
      </c>
      <c r="J60" s="1">
        <v>45209</v>
      </c>
      <c r="K60">
        <v>5</v>
      </c>
      <c r="L60">
        <v>96</v>
      </c>
      <c r="M60">
        <v>8</v>
      </c>
      <c r="N60" t="s">
        <v>19</v>
      </c>
      <c r="O60">
        <f t="shared" si="0"/>
        <v>1075908</v>
      </c>
      <c r="P60" t="str">
        <f t="shared" si="1"/>
        <v>Senior</v>
      </c>
      <c r="Q60" t="str">
        <f t="shared" si="2"/>
        <v>Excellent</v>
      </c>
    </row>
    <row r="61" spans="1:17" x14ac:dyDescent="0.25">
      <c r="A61">
        <v>1060</v>
      </c>
      <c r="B61" t="s">
        <v>89</v>
      </c>
      <c r="C61" t="s">
        <v>15</v>
      </c>
      <c r="D61">
        <v>26</v>
      </c>
      <c r="E61" t="s">
        <v>36</v>
      </c>
      <c r="F61" t="s">
        <v>57</v>
      </c>
      <c r="G61">
        <v>78268</v>
      </c>
      <c r="H61">
        <v>9</v>
      </c>
      <c r="I61" t="s">
        <v>29</v>
      </c>
      <c r="J61" s="1">
        <v>45657</v>
      </c>
      <c r="K61">
        <v>2</v>
      </c>
      <c r="L61">
        <v>99</v>
      </c>
      <c r="M61">
        <v>11</v>
      </c>
      <c r="N61" t="s">
        <v>19</v>
      </c>
      <c r="O61">
        <f t="shared" si="0"/>
        <v>939216</v>
      </c>
      <c r="P61" t="str">
        <f t="shared" si="1"/>
        <v>Senior</v>
      </c>
      <c r="Q61" t="str">
        <f t="shared" si="2"/>
        <v>Needs Improvement</v>
      </c>
    </row>
    <row r="62" spans="1:17" x14ac:dyDescent="0.25">
      <c r="A62">
        <v>1061</v>
      </c>
      <c r="B62" t="s">
        <v>90</v>
      </c>
      <c r="C62" t="s">
        <v>15</v>
      </c>
      <c r="D62">
        <v>38</v>
      </c>
      <c r="E62" t="s">
        <v>27</v>
      </c>
      <c r="F62" t="s">
        <v>51</v>
      </c>
      <c r="G62">
        <v>62961</v>
      </c>
      <c r="H62">
        <v>10</v>
      </c>
      <c r="I62" t="s">
        <v>23</v>
      </c>
      <c r="J62" s="1">
        <v>44812</v>
      </c>
      <c r="K62">
        <v>2</v>
      </c>
      <c r="L62">
        <v>82</v>
      </c>
      <c r="M62">
        <v>16</v>
      </c>
      <c r="N62" t="s">
        <v>19</v>
      </c>
      <c r="O62">
        <f t="shared" si="0"/>
        <v>755532</v>
      </c>
      <c r="P62" t="str">
        <f t="shared" si="1"/>
        <v>Senior</v>
      </c>
      <c r="Q62" t="str">
        <f t="shared" si="2"/>
        <v>Needs Improvement</v>
      </c>
    </row>
    <row r="63" spans="1:17" x14ac:dyDescent="0.25">
      <c r="A63">
        <v>1062</v>
      </c>
      <c r="B63" t="s">
        <v>91</v>
      </c>
      <c r="C63" t="s">
        <v>15</v>
      </c>
      <c r="D63">
        <v>25</v>
      </c>
      <c r="E63" t="s">
        <v>36</v>
      </c>
      <c r="F63" t="s">
        <v>57</v>
      </c>
      <c r="G63">
        <v>37956</v>
      </c>
      <c r="H63">
        <v>6</v>
      </c>
      <c r="I63" t="s">
        <v>49</v>
      </c>
      <c r="J63" s="1">
        <v>44322</v>
      </c>
      <c r="K63">
        <v>2</v>
      </c>
      <c r="L63">
        <v>89</v>
      </c>
      <c r="M63">
        <v>3</v>
      </c>
      <c r="N63" t="s">
        <v>19</v>
      </c>
      <c r="O63">
        <f t="shared" si="0"/>
        <v>455472</v>
      </c>
      <c r="P63" t="str">
        <f t="shared" si="1"/>
        <v>Mid-Level</v>
      </c>
      <c r="Q63" t="str">
        <f t="shared" si="2"/>
        <v>Needs Improvement</v>
      </c>
    </row>
    <row r="64" spans="1:17" x14ac:dyDescent="0.25">
      <c r="A64">
        <v>1063</v>
      </c>
      <c r="B64" t="s">
        <v>92</v>
      </c>
      <c r="C64" t="s">
        <v>15</v>
      </c>
      <c r="D64">
        <v>33</v>
      </c>
      <c r="E64" t="s">
        <v>27</v>
      </c>
      <c r="F64" t="s">
        <v>28</v>
      </c>
      <c r="G64">
        <v>78095</v>
      </c>
      <c r="H64">
        <v>9</v>
      </c>
      <c r="I64" t="s">
        <v>49</v>
      </c>
      <c r="J64" s="1">
        <v>43199</v>
      </c>
      <c r="K64">
        <v>1</v>
      </c>
      <c r="L64">
        <v>82</v>
      </c>
      <c r="M64">
        <v>6</v>
      </c>
      <c r="N64" t="s">
        <v>19</v>
      </c>
      <c r="O64">
        <f t="shared" si="0"/>
        <v>937140</v>
      </c>
      <c r="P64" t="str">
        <f t="shared" si="1"/>
        <v>Senior</v>
      </c>
      <c r="Q64" t="str">
        <f t="shared" si="2"/>
        <v>Needs Improvement</v>
      </c>
    </row>
    <row r="65" spans="1:17" x14ac:dyDescent="0.25">
      <c r="A65">
        <v>1064</v>
      </c>
      <c r="B65" t="s">
        <v>93</v>
      </c>
      <c r="C65" t="s">
        <v>15</v>
      </c>
      <c r="D65">
        <v>26</v>
      </c>
      <c r="E65" t="s">
        <v>36</v>
      </c>
      <c r="F65" t="s">
        <v>37</v>
      </c>
      <c r="G65">
        <v>58184</v>
      </c>
      <c r="H65">
        <v>5</v>
      </c>
      <c r="I65" t="s">
        <v>18</v>
      </c>
      <c r="J65" s="1">
        <v>44569</v>
      </c>
      <c r="K65">
        <v>4</v>
      </c>
      <c r="L65">
        <v>97</v>
      </c>
      <c r="M65">
        <v>19</v>
      </c>
      <c r="N65" t="s">
        <v>19</v>
      </c>
      <c r="O65">
        <f t="shared" si="0"/>
        <v>698208</v>
      </c>
      <c r="P65" t="str">
        <f t="shared" si="1"/>
        <v>Mid-Level</v>
      </c>
      <c r="Q65" t="str">
        <f t="shared" si="2"/>
        <v>Excellent</v>
      </c>
    </row>
    <row r="66" spans="1:17" x14ac:dyDescent="0.25">
      <c r="A66">
        <v>1065</v>
      </c>
      <c r="B66" t="s">
        <v>63</v>
      </c>
      <c r="C66" t="s">
        <v>25</v>
      </c>
      <c r="D66">
        <v>27</v>
      </c>
      <c r="E66" t="s">
        <v>36</v>
      </c>
      <c r="F66" t="s">
        <v>37</v>
      </c>
      <c r="G66">
        <v>35557</v>
      </c>
      <c r="H66">
        <v>7</v>
      </c>
      <c r="I66" t="s">
        <v>55</v>
      </c>
      <c r="J66" s="1">
        <v>43958</v>
      </c>
      <c r="K66">
        <v>1</v>
      </c>
      <c r="L66">
        <v>78</v>
      </c>
      <c r="M66">
        <v>9</v>
      </c>
      <c r="N66" t="s">
        <v>19</v>
      </c>
      <c r="O66">
        <f t="shared" si="0"/>
        <v>426684</v>
      </c>
      <c r="P66" t="str">
        <f t="shared" si="1"/>
        <v>Senior</v>
      </c>
      <c r="Q66" t="str">
        <f t="shared" si="2"/>
        <v>Needs Improvement</v>
      </c>
    </row>
    <row r="67" spans="1:17" x14ac:dyDescent="0.25">
      <c r="A67">
        <v>1066</v>
      </c>
      <c r="B67" t="s">
        <v>94</v>
      </c>
      <c r="C67" t="s">
        <v>15</v>
      </c>
      <c r="D67">
        <v>38</v>
      </c>
      <c r="E67" t="s">
        <v>27</v>
      </c>
      <c r="F67" t="s">
        <v>28</v>
      </c>
      <c r="G67">
        <v>36823</v>
      </c>
      <c r="H67">
        <v>10</v>
      </c>
      <c r="I67" t="s">
        <v>49</v>
      </c>
      <c r="J67" s="1">
        <v>43306</v>
      </c>
      <c r="K67">
        <v>5</v>
      </c>
      <c r="L67">
        <v>77</v>
      </c>
      <c r="M67">
        <v>5</v>
      </c>
      <c r="N67" t="s">
        <v>40</v>
      </c>
      <c r="O67">
        <f t="shared" ref="O67:O130" si="3">G67*12</f>
        <v>441876</v>
      </c>
      <c r="P67" t="str">
        <f t="shared" ref="P67:P130" si="4">IF(H67&lt;3,"Junior",IF(H67&lt;7,"Mid-Level","Senior"))</f>
        <v>Senior</v>
      </c>
      <c r="Q67" t="str">
        <f t="shared" ref="Q67:Q130" si="5">IF(K67&gt;=4,"Excellent","Needs Improvement")</f>
        <v>Excellent</v>
      </c>
    </row>
    <row r="68" spans="1:17" x14ac:dyDescent="0.25">
      <c r="A68">
        <v>1067</v>
      </c>
      <c r="B68" t="s">
        <v>54</v>
      </c>
      <c r="C68" t="s">
        <v>15</v>
      </c>
      <c r="D68">
        <v>32</v>
      </c>
      <c r="E68" t="s">
        <v>21</v>
      </c>
      <c r="F68" t="s">
        <v>22</v>
      </c>
      <c r="G68">
        <v>84246</v>
      </c>
      <c r="H68">
        <v>6</v>
      </c>
      <c r="I68" t="s">
        <v>55</v>
      </c>
      <c r="J68" s="1">
        <v>45796</v>
      </c>
      <c r="K68">
        <v>5</v>
      </c>
      <c r="L68">
        <v>90</v>
      </c>
      <c r="M68">
        <v>0</v>
      </c>
      <c r="N68" t="s">
        <v>19</v>
      </c>
      <c r="O68">
        <f t="shared" si="3"/>
        <v>1010952</v>
      </c>
      <c r="P68" t="str">
        <f t="shared" si="4"/>
        <v>Mid-Level</v>
      </c>
      <c r="Q68" t="str">
        <f t="shared" si="5"/>
        <v>Excellent</v>
      </c>
    </row>
    <row r="69" spans="1:17" x14ac:dyDescent="0.25">
      <c r="A69">
        <v>1068</v>
      </c>
      <c r="B69" t="s">
        <v>95</v>
      </c>
      <c r="C69" t="s">
        <v>25</v>
      </c>
      <c r="D69">
        <v>42</v>
      </c>
      <c r="E69" t="s">
        <v>27</v>
      </c>
      <c r="F69" t="s">
        <v>28</v>
      </c>
      <c r="G69">
        <v>71884</v>
      </c>
      <c r="H69">
        <v>8</v>
      </c>
      <c r="I69" t="s">
        <v>29</v>
      </c>
      <c r="J69" s="1">
        <v>45067</v>
      </c>
      <c r="K69">
        <v>1</v>
      </c>
      <c r="L69">
        <v>75</v>
      </c>
      <c r="M69">
        <v>5</v>
      </c>
      <c r="N69" t="s">
        <v>40</v>
      </c>
      <c r="O69">
        <f t="shared" si="3"/>
        <v>862608</v>
      </c>
      <c r="P69" t="str">
        <f t="shared" si="4"/>
        <v>Senior</v>
      </c>
      <c r="Q69" t="str">
        <f t="shared" si="5"/>
        <v>Needs Improvement</v>
      </c>
    </row>
    <row r="70" spans="1:17" x14ac:dyDescent="0.25">
      <c r="A70">
        <v>1069</v>
      </c>
      <c r="B70" t="s">
        <v>74</v>
      </c>
      <c r="C70" t="s">
        <v>15</v>
      </c>
      <c r="D70">
        <v>27</v>
      </c>
      <c r="E70" t="s">
        <v>36</v>
      </c>
      <c r="F70" t="s">
        <v>72</v>
      </c>
      <c r="G70">
        <v>32494</v>
      </c>
      <c r="H70">
        <v>12</v>
      </c>
      <c r="I70" t="s">
        <v>23</v>
      </c>
      <c r="J70" s="1">
        <v>45830</v>
      </c>
      <c r="K70">
        <v>1</v>
      </c>
      <c r="L70">
        <v>99</v>
      </c>
      <c r="M70">
        <v>19</v>
      </c>
      <c r="N70" t="s">
        <v>19</v>
      </c>
      <c r="O70">
        <f t="shared" si="3"/>
        <v>389928</v>
      </c>
      <c r="P70" t="str">
        <f t="shared" si="4"/>
        <v>Senior</v>
      </c>
      <c r="Q70" t="str">
        <f t="shared" si="5"/>
        <v>Needs Improvement</v>
      </c>
    </row>
    <row r="71" spans="1:17" x14ac:dyDescent="0.25">
      <c r="A71">
        <v>1070</v>
      </c>
      <c r="B71" t="s">
        <v>96</v>
      </c>
      <c r="C71" t="s">
        <v>25</v>
      </c>
      <c r="D71">
        <v>41</v>
      </c>
      <c r="E71" t="s">
        <v>27</v>
      </c>
      <c r="F71" t="s">
        <v>28</v>
      </c>
      <c r="G71">
        <v>81651</v>
      </c>
      <c r="H71">
        <v>8</v>
      </c>
      <c r="I71" t="s">
        <v>29</v>
      </c>
      <c r="J71" s="1">
        <v>45394</v>
      </c>
      <c r="K71">
        <v>4</v>
      </c>
      <c r="L71">
        <v>88</v>
      </c>
      <c r="M71">
        <v>22</v>
      </c>
      <c r="N71" t="s">
        <v>19</v>
      </c>
      <c r="O71">
        <f t="shared" si="3"/>
        <v>979812</v>
      </c>
      <c r="P71" t="str">
        <f t="shared" si="4"/>
        <v>Senior</v>
      </c>
      <c r="Q71" t="str">
        <f t="shared" si="5"/>
        <v>Excellent</v>
      </c>
    </row>
    <row r="72" spans="1:17" x14ac:dyDescent="0.25">
      <c r="A72">
        <v>1071</v>
      </c>
      <c r="B72" t="s">
        <v>97</v>
      </c>
      <c r="C72" t="s">
        <v>25</v>
      </c>
      <c r="D72">
        <v>26</v>
      </c>
      <c r="E72" t="s">
        <v>31</v>
      </c>
      <c r="F72" t="s">
        <v>43</v>
      </c>
      <c r="G72">
        <v>39088</v>
      </c>
      <c r="H72">
        <v>4</v>
      </c>
      <c r="I72" t="s">
        <v>55</v>
      </c>
      <c r="J72" s="1">
        <v>44935</v>
      </c>
      <c r="K72">
        <v>2</v>
      </c>
      <c r="L72">
        <v>89</v>
      </c>
      <c r="M72">
        <v>8</v>
      </c>
      <c r="N72" t="s">
        <v>19</v>
      </c>
      <c r="O72">
        <f t="shared" si="3"/>
        <v>469056</v>
      </c>
      <c r="P72" t="str">
        <f t="shared" si="4"/>
        <v>Mid-Level</v>
      </c>
      <c r="Q72" t="str">
        <f t="shared" si="5"/>
        <v>Needs Improvement</v>
      </c>
    </row>
    <row r="73" spans="1:17" x14ac:dyDescent="0.25">
      <c r="A73">
        <v>1072</v>
      </c>
      <c r="B73" t="s">
        <v>98</v>
      </c>
      <c r="C73" t="s">
        <v>15</v>
      </c>
      <c r="D73">
        <v>23</v>
      </c>
      <c r="E73" t="s">
        <v>36</v>
      </c>
      <c r="F73" t="s">
        <v>57</v>
      </c>
      <c r="G73">
        <v>52691</v>
      </c>
      <c r="H73">
        <v>15</v>
      </c>
      <c r="I73" t="s">
        <v>49</v>
      </c>
      <c r="J73" s="1">
        <v>45879</v>
      </c>
      <c r="K73">
        <v>4</v>
      </c>
      <c r="L73">
        <v>82</v>
      </c>
      <c r="M73">
        <v>24</v>
      </c>
      <c r="N73" t="s">
        <v>19</v>
      </c>
      <c r="O73">
        <f t="shared" si="3"/>
        <v>632292</v>
      </c>
      <c r="P73" t="str">
        <f t="shared" si="4"/>
        <v>Senior</v>
      </c>
      <c r="Q73" t="str">
        <f t="shared" si="5"/>
        <v>Excellent</v>
      </c>
    </row>
    <row r="74" spans="1:17" x14ac:dyDescent="0.25">
      <c r="A74">
        <v>1073</v>
      </c>
      <c r="B74" t="s">
        <v>68</v>
      </c>
      <c r="C74" t="s">
        <v>15</v>
      </c>
      <c r="D74">
        <v>38</v>
      </c>
      <c r="E74" t="s">
        <v>16</v>
      </c>
      <c r="F74" t="s">
        <v>17</v>
      </c>
      <c r="G74">
        <v>54061</v>
      </c>
      <c r="H74">
        <v>10</v>
      </c>
      <c r="I74" t="s">
        <v>29</v>
      </c>
      <c r="J74" s="1">
        <v>45048</v>
      </c>
      <c r="K74">
        <v>4</v>
      </c>
      <c r="L74">
        <v>95</v>
      </c>
      <c r="M74">
        <v>26</v>
      </c>
      <c r="N74" t="s">
        <v>19</v>
      </c>
      <c r="O74">
        <f t="shared" si="3"/>
        <v>648732</v>
      </c>
      <c r="P74" t="str">
        <f t="shared" si="4"/>
        <v>Senior</v>
      </c>
      <c r="Q74" t="str">
        <f t="shared" si="5"/>
        <v>Excellent</v>
      </c>
    </row>
    <row r="75" spans="1:17" x14ac:dyDescent="0.25">
      <c r="A75">
        <v>1074</v>
      </c>
      <c r="B75" t="s">
        <v>99</v>
      </c>
      <c r="C75" t="s">
        <v>15</v>
      </c>
      <c r="D75">
        <v>31</v>
      </c>
      <c r="E75" t="s">
        <v>27</v>
      </c>
      <c r="F75" t="s">
        <v>28</v>
      </c>
      <c r="G75">
        <v>49495</v>
      </c>
      <c r="H75">
        <v>4</v>
      </c>
      <c r="I75" t="s">
        <v>29</v>
      </c>
      <c r="J75" s="1">
        <v>44485</v>
      </c>
      <c r="K75">
        <v>2</v>
      </c>
      <c r="L75">
        <v>78</v>
      </c>
      <c r="M75">
        <v>1</v>
      </c>
      <c r="N75" t="s">
        <v>19</v>
      </c>
      <c r="O75">
        <f t="shared" si="3"/>
        <v>593940</v>
      </c>
      <c r="P75" t="str">
        <f t="shared" si="4"/>
        <v>Mid-Level</v>
      </c>
      <c r="Q75" t="str">
        <f t="shared" si="5"/>
        <v>Needs Improvement</v>
      </c>
    </row>
    <row r="76" spans="1:17" x14ac:dyDescent="0.25">
      <c r="A76">
        <v>1075</v>
      </c>
      <c r="B76" t="s">
        <v>100</v>
      </c>
      <c r="C76" t="s">
        <v>25</v>
      </c>
      <c r="D76">
        <v>24</v>
      </c>
      <c r="E76" t="s">
        <v>36</v>
      </c>
      <c r="F76" t="s">
        <v>72</v>
      </c>
      <c r="G76">
        <v>89305</v>
      </c>
      <c r="H76">
        <v>5</v>
      </c>
      <c r="I76" t="s">
        <v>55</v>
      </c>
      <c r="J76" s="1">
        <v>43656</v>
      </c>
      <c r="K76">
        <v>2</v>
      </c>
      <c r="L76">
        <v>86</v>
      </c>
      <c r="M76">
        <v>17</v>
      </c>
      <c r="N76" t="s">
        <v>40</v>
      </c>
      <c r="O76">
        <f t="shared" si="3"/>
        <v>1071660</v>
      </c>
      <c r="P76" t="str">
        <f t="shared" si="4"/>
        <v>Mid-Level</v>
      </c>
      <c r="Q76" t="str">
        <f t="shared" si="5"/>
        <v>Needs Improvement</v>
      </c>
    </row>
    <row r="77" spans="1:17" x14ac:dyDescent="0.25">
      <c r="A77">
        <v>1076</v>
      </c>
      <c r="B77" t="s">
        <v>101</v>
      </c>
      <c r="C77" t="s">
        <v>25</v>
      </c>
      <c r="D77">
        <v>31</v>
      </c>
      <c r="E77" t="s">
        <v>36</v>
      </c>
      <c r="F77" t="s">
        <v>72</v>
      </c>
      <c r="G77">
        <v>75577</v>
      </c>
      <c r="H77">
        <v>15</v>
      </c>
      <c r="I77" t="s">
        <v>29</v>
      </c>
      <c r="J77" s="1">
        <v>45755</v>
      </c>
      <c r="K77">
        <v>5</v>
      </c>
      <c r="L77">
        <v>97</v>
      </c>
      <c r="M77">
        <v>15</v>
      </c>
      <c r="N77" t="s">
        <v>40</v>
      </c>
      <c r="O77">
        <f t="shared" si="3"/>
        <v>906924</v>
      </c>
      <c r="P77" t="str">
        <f t="shared" si="4"/>
        <v>Senior</v>
      </c>
      <c r="Q77" t="str">
        <f t="shared" si="5"/>
        <v>Excellent</v>
      </c>
    </row>
    <row r="78" spans="1:17" x14ac:dyDescent="0.25">
      <c r="A78">
        <v>1077</v>
      </c>
      <c r="B78" t="s">
        <v>102</v>
      </c>
      <c r="C78" t="s">
        <v>15</v>
      </c>
      <c r="D78">
        <v>43</v>
      </c>
      <c r="E78" t="s">
        <v>27</v>
      </c>
      <c r="F78" t="s">
        <v>28</v>
      </c>
      <c r="G78">
        <v>83561</v>
      </c>
      <c r="H78">
        <v>2</v>
      </c>
      <c r="I78" t="s">
        <v>49</v>
      </c>
      <c r="J78" s="1">
        <v>45603</v>
      </c>
      <c r="K78">
        <v>4</v>
      </c>
      <c r="L78">
        <v>79</v>
      </c>
      <c r="M78">
        <v>3</v>
      </c>
      <c r="N78" t="s">
        <v>40</v>
      </c>
      <c r="O78">
        <f t="shared" si="3"/>
        <v>1002732</v>
      </c>
      <c r="P78" t="str">
        <f t="shared" si="4"/>
        <v>Junior</v>
      </c>
      <c r="Q78" t="str">
        <f t="shared" si="5"/>
        <v>Excellent</v>
      </c>
    </row>
    <row r="79" spans="1:17" x14ac:dyDescent="0.25">
      <c r="A79">
        <v>1078</v>
      </c>
      <c r="B79" t="s">
        <v>103</v>
      </c>
      <c r="C79" t="s">
        <v>15</v>
      </c>
      <c r="D79">
        <v>26</v>
      </c>
      <c r="E79" t="s">
        <v>36</v>
      </c>
      <c r="F79" t="s">
        <v>37</v>
      </c>
      <c r="G79">
        <v>41357</v>
      </c>
      <c r="H79">
        <v>1</v>
      </c>
      <c r="I79" t="s">
        <v>49</v>
      </c>
      <c r="J79" s="1">
        <v>44392</v>
      </c>
      <c r="K79">
        <v>1</v>
      </c>
      <c r="L79">
        <v>81</v>
      </c>
      <c r="M79">
        <v>30</v>
      </c>
      <c r="N79" t="s">
        <v>19</v>
      </c>
      <c r="O79">
        <f t="shared" si="3"/>
        <v>496284</v>
      </c>
      <c r="P79" t="str">
        <f t="shared" si="4"/>
        <v>Junior</v>
      </c>
      <c r="Q79" t="str">
        <f t="shared" si="5"/>
        <v>Needs Improvement</v>
      </c>
    </row>
    <row r="80" spans="1:17" x14ac:dyDescent="0.25">
      <c r="A80">
        <v>1079</v>
      </c>
      <c r="B80" t="s">
        <v>104</v>
      </c>
      <c r="C80" t="s">
        <v>25</v>
      </c>
      <c r="D80">
        <v>31</v>
      </c>
      <c r="E80" t="s">
        <v>16</v>
      </c>
      <c r="F80" t="s">
        <v>59</v>
      </c>
      <c r="G80">
        <v>46449</v>
      </c>
      <c r="H80">
        <v>14</v>
      </c>
      <c r="I80" t="s">
        <v>23</v>
      </c>
      <c r="J80" s="1">
        <v>43589</v>
      </c>
      <c r="K80">
        <v>3</v>
      </c>
      <c r="L80">
        <v>89</v>
      </c>
      <c r="M80">
        <v>6</v>
      </c>
      <c r="N80" t="s">
        <v>40</v>
      </c>
      <c r="O80">
        <f t="shared" si="3"/>
        <v>557388</v>
      </c>
      <c r="P80" t="str">
        <f t="shared" si="4"/>
        <v>Senior</v>
      </c>
      <c r="Q80" t="str">
        <f t="shared" si="5"/>
        <v>Needs Improvement</v>
      </c>
    </row>
    <row r="81" spans="1:17" x14ac:dyDescent="0.25">
      <c r="A81">
        <v>1080</v>
      </c>
      <c r="B81" t="s">
        <v>105</v>
      </c>
      <c r="C81" t="s">
        <v>15</v>
      </c>
      <c r="D81">
        <v>36</v>
      </c>
      <c r="E81" t="s">
        <v>21</v>
      </c>
      <c r="F81" t="s">
        <v>22</v>
      </c>
      <c r="G81">
        <v>85887</v>
      </c>
      <c r="H81">
        <v>1</v>
      </c>
      <c r="I81" t="s">
        <v>23</v>
      </c>
      <c r="J81" s="1">
        <v>43422</v>
      </c>
      <c r="K81">
        <v>4</v>
      </c>
      <c r="L81">
        <v>91</v>
      </c>
      <c r="M81">
        <v>8</v>
      </c>
      <c r="N81" t="s">
        <v>19</v>
      </c>
      <c r="O81">
        <f t="shared" si="3"/>
        <v>1030644</v>
      </c>
      <c r="P81" t="str">
        <f t="shared" si="4"/>
        <v>Junior</v>
      </c>
      <c r="Q81" t="str">
        <f t="shared" si="5"/>
        <v>Excellent</v>
      </c>
    </row>
    <row r="82" spans="1:17" x14ac:dyDescent="0.25">
      <c r="A82">
        <v>1081</v>
      </c>
      <c r="B82" t="s">
        <v>83</v>
      </c>
      <c r="C82" t="s">
        <v>15</v>
      </c>
      <c r="D82">
        <v>27</v>
      </c>
      <c r="E82" t="s">
        <v>36</v>
      </c>
      <c r="F82" t="s">
        <v>37</v>
      </c>
      <c r="G82">
        <v>69247</v>
      </c>
      <c r="H82">
        <v>2</v>
      </c>
      <c r="I82" t="s">
        <v>29</v>
      </c>
      <c r="J82" s="1">
        <v>44827</v>
      </c>
      <c r="K82">
        <v>1</v>
      </c>
      <c r="L82">
        <v>87</v>
      </c>
      <c r="M82">
        <v>3</v>
      </c>
      <c r="N82" t="s">
        <v>19</v>
      </c>
      <c r="O82">
        <f t="shared" si="3"/>
        <v>830964</v>
      </c>
      <c r="P82" t="str">
        <f t="shared" si="4"/>
        <v>Junior</v>
      </c>
      <c r="Q82" t="str">
        <f t="shared" si="5"/>
        <v>Needs Improvement</v>
      </c>
    </row>
    <row r="83" spans="1:17" x14ac:dyDescent="0.25">
      <c r="A83">
        <v>1082</v>
      </c>
      <c r="B83" t="s">
        <v>106</v>
      </c>
      <c r="C83" t="s">
        <v>15</v>
      </c>
      <c r="D83">
        <v>22</v>
      </c>
      <c r="E83" t="s">
        <v>31</v>
      </c>
      <c r="F83" t="s">
        <v>43</v>
      </c>
      <c r="G83">
        <v>58852</v>
      </c>
      <c r="H83">
        <v>6</v>
      </c>
      <c r="I83" t="s">
        <v>23</v>
      </c>
      <c r="J83" s="1">
        <v>44059</v>
      </c>
      <c r="K83">
        <v>2</v>
      </c>
      <c r="L83">
        <v>76</v>
      </c>
      <c r="M83">
        <v>7</v>
      </c>
      <c r="N83" t="s">
        <v>19</v>
      </c>
      <c r="O83">
        <f t="shared" si="3"/>
        <v>706224</v>
      </c>
      <c r="P83" t="str">
        <f t="shared" si="4"/>
        <v>Mid-Level</v>
      </c>
      <c r="Q83" t="str">
        <f t="shared" si="5"/>
        <v>Needs Improvement</v>
      </c>
    </row>
    <row r="84" spans="1:17" x14ac:dyDescent="0.25">
      <c r="A84">
        <v>1083</v>
      </c>
      <c r="B84" t="s">
        <v>107</v>
      </c>
      <c r="C84" t="s">
        <v>25</v>
      </c>
      <c r="D84">
        <v>28</v>
      </c>
      <c r="E84" t="s">
        <v>36</v>
      </c>
      <c r="F84" t="s">
        <v>37</v>
      </c>
      <c r="G84">
        <v>59237</v>
      </c>
      <c r="H84">
        <v>5</v>
      </c>
      <c r="I84" t="s">
        <v>29</v>
      </c>
      <c r="J84" s="1">
        <v>44704</v>
      </c>
      <c r="K84">
        <v>2</v>
      </c>
      <c r="L84">
        <v>84</v>
      </c>
      <c r="M84">
        <v>1</v>
      </c>
      <c r="N84" t="s">
        <v>19</v>
      </c>
      <c r="O84">
        <f t="shared" si="3"/>
        <v>710844</v>
      </c>
      <c r="P84" t="str">
        <f t="shared" si="4"/>
        <v>Mid-Level</v>
      </c>
      <c r="Q84" t="str">
        <f t="shared" si="5"/>
        <v>Needs Improvement</v>
      </c>
    </row>
    <row r="85" spans="1:17" x14ac:dyDescent="0.25">
      <c r="A85">
        <v>1084</v>
      </c>
      <c r="B85" t="s">
        <v>81</v>
      </c>
      <c r="C85" t="s">
        <v>15</v>
      </c>
      <c r="D85">
        <v>27</v>
      </c>
      <c r="E85" t="s">
        <v>16</v>
      </c>
      <c r="F85" t="s">
        <v>17</v>
      </c>
      <c r="G85">
        <v>71680</v>
      </c>
      <c r="H85">
        <v>1</v>
      </c>
      <c r="I85" t="s">
        <v>18</v>
      </c>
      <c r="J85" s="1">
        <v>46093</v>
      </c>
      <c r="K85">
        <v>2</v>
      </c>
      <c r="L85">
        <v>85</v>
      </c>
      <c r="M85">
        <v>0</v>
      </c>
      <c r="N85" t="s">
        <v>19</v>
      </c>
      <c r="O85">
        <f t="shared" si="3"/>
        <v>860160</v>
      </c>
      <c r="P85" t="str">
        <f t="shared" si="4"/>
        <v>Junior</v>
      </c>
      <c r="Q85" t="str">
        <f t="shared" si="5"/>
        <v>Needs Improvement</v>
      </c>
    </row>
    <row r="86" spans="1:17" x14ac:dyDescent="0.25">
      <c r="A86">
        <v>1085</v>
      </c>
      <c r="B86" t="s">
        <v>90</v>
      </c>
      <c r="C86" t="s">
        <v>15</v>
      </c>
      <c r="D86">
        <v>35</v>
      </c>
      <c r="E86" t="s">
        <v>21</v>
      </c>
      <c r="F86" t="s">
        <v>22</v>
      </c>
      <c r="G86">
        <v>76981</v>
      </c>
      <c r="H86">
        <v>15</v>
      </c>
      <c r="I86" t="s">
        <v>18</v>
      </c>
      <c r="J86" s="1">
        <v>45123</v>
      </c>
      <c r="K86">
        <v>4</v>
      </c>
      <c r="L86">
        <v>95</v>
      </c>
      <c r="M86">
        <v>8</v>
      </c>
      <c r="N86" t="s">
        <v>19</v>
      </c>
      <c r="O86">
        <f t="shared" si="3"/>
        <v>923772</v>
      </c>
      <c r="P86" t="str">
        <f t="shared" si="4"/>
        <v>Senior</v>
      </c>
      <c r="Q86" t="str">
        <f t="shared" si="5"/>
        <v>Excellent</v>
      </c>
    </row>
    <row r="87" spans="1:17" x14ac:dyDescent="0.25">
      <c r="A87">
        <v>1086</v>
      </c>
      <c r="B87" t="s">
        <v>91</v>
      </c>
      <c r="C87" t="s">
        <v>15</v>
      </c>
      <c r="D87">
        <v>38</v>
      </c>
      <c r="E87" t="s">
        <v>36</v>
      </c>
      <c r="F87" t="s">
        <v>57</v>
      </c>
      <c r="G87">
        <v>39595</v>
      </c>
      <c r="H87">
        <v>6</v>
      </c>
      <c r="I87" t="s">
        <v>49</v>
      </c>
      <c r="J87" s="1">
        <v>46000</v>
      </c>
      <c r="K87">
        <v>5</v>
      </c>
      <c r="L87">
        <v>87</v>
      </c>
      <c r="M87">
        <v>20</v>
      </c>
      <c r="N87" t="s">
        <v>40</v>
      </c>
      <c r="O87">
        <f t="shared" si="3"/>
        <v>475140</v>
      </c>
      <c r="P87" t="str">
        <f t="shared" si="4"/>
        <v>Mid-Level</v>
      </c>
      <c r="Q87" t="str">
        <f t="shared" si="5"/>
        <v>Excellent</v>
      </c>
    </row>
    <row r="88" spans="1:17" x14ac:dyDescent="0.25">
      <c r="A88">
        <v>1087</v>
      </c>
      <c r="B88" t="s">
        <v>85</v>
      </c>
      <c r="C88" t="s">
        <v>15</v>
      </c>
      <c r="D88">
        <v>39</v>
      </c>
      <c r="E88" t="s">
        <v>21</v>
      </c>
      <c r="F88" t="s">
        <v>22</v>
      </c>
      <c r="G88">
        <v>73772</v>
      </c>
      <c r="H88">
        <v>12</v>
      </c>
      <c r="I88" t="s">
        <v>49</v>
      </c>
      <c r="J88" s="1">
        <v>43305</v>
      </c>
      <c r="K88">
        <v>3</v>
      </c>
      <c r="L88">
        <v>80</v>
      </c>
      <c r="M88">
        <v>16</v>
      </c>
      <c r="N88" t="s">
        <v>40</v>
      </c>
      <c r="O88">
        <f t="shared" si="3"/>
        <v>885264</v>
      </c>
      <c r="P88" t="str">
        <f t="shared" si="4"/>
        <v>Senior</v>
      </c>
      <c r="Q88" t="str">
        <f t="shared" si="5"/>
        <v>Needs Improvement</v>
      </c>
    </row>
    <row r="89" spans="1:17" x14ac:dyDescent="0.25">
      <c r="A89">
        <v>1088</v>
      </c>
      <c r="B89" t="s">
        <v>73</v>
      </c>
      <c r="C89" t="s">
        <v>25</v>
      </c>
      <c r="D89">
        <v>24</v>
      </c>
      <c r="E89" t="s">
        <v>36</v>
      </c>
      <c r="F89" t="s">
        <v>72</v>
      </c>
      <c r="G89">
        <v>57293</v>
      </c>
      <c r="H89">
        <v>11</v>
      </c>
      <c r="I89" t="s">
        <v>23</v>
      </c>
      <c r="J89" s="1">
        <v>45551</v>
      </c>
      <c r="K89">
        <v>2</v>
      </c>
      <c r="L89">
        <v>94</v>
      </c>
      <c r="M89">
        <v>2</v>
      </c>
      <c r="N89" t="s">
        <v>19</v>
      </c>
      <c r="O89">
        <f t="shared" si="3"/>
        <v>687516</v>
      </c>
      <c r="P89" t="str">
        <f t="shared" si="4"/>
        <v>Senior</v>
      </c>
      <c r="Q89" t="str">
        <f t="shared" si="5"/>
        <v>Needs Improvement</v>
      </c>
    </row>
    <row r="90" spans="1:17" x14ac:dyDescent="0.25">
      <c r="A90">
        <v>1089</v>
      </c>
      <c r="B90" t="s">
        <v>108</v>
      </c>
      <c r="C90" t="s">
        <v>15</v>
      </c>
      <c r="D90">
        <v>27</v>
      </c>
      <c r="E90" t="s">
        <v>36</v>
      </c>
      <c r="F90" t="s">
        <v>57</v>
      </c>
      <c r="G90">
        <v>54150</v>
      </c>
      <c r="H90">
        <v>15</v>
      </c>
      <c r="I90" t="s">
        <v>18</v>
      </c>
      <c r="J90" s="1">
        <v>43196</v>
      </c>
      <c r="K90">
        <v>3</v>
      </c>
      <c r="L90">
        <v>91</v>
      </c>
      <c r="M90">
        <v>2</v>
      </c>
      <c r="N90" t="s">
        <v>19</v>
      </c>
      <c r="O90">
        <f t="shared" si="3"/>
        <v>649800</v>
      </c>
      <c r="P90" t="str">
        <f t="shared" si="4"/>
        <v>Senior</v>
      </c>
      <c r="Q90" t="str">
        <f t="shared" si="5"/>
        <v>Needs Improvement</v>
      </c>
    </row>
    <row r="91" spans="1:17" x14ac:dyDescent="0.25">
      <c r="A91">
        <v>1090</v>
      </c>
      <c r="B91" t="s">
        <v>109</v>
      </c>
      <c r="C91" t="s">
        <v>15</v>
      </c>
      <c r="D91">
        <v>33</v>
      </c>
      <c r="E91" t="s">
        <v>36</v>
      </c>
      <c r="F91" t="s">
        <v>37</v>
      </c>
      <c r="G91">
        <v>68136</v>
      </c>
      <c r="H91">
        <v>3</v>
      </c>
      <c r="I91" t="s">
        <v>55</v>
      </c>
      <c r="J91" s="1">
        <v>45343</v>
      </c>
      <c r="K91">
        <v>2</v>
      </c>
      <c r="L91">
        <v>75</v>
      </c>
      <c r="M91">
        <v>12</v>
      </c>
      <c r="N91" t="s">
        <v>40</v>
      </c>
      <c r="O91">
        <f t="shared" si="3"/>
        <v>817632</v>
      </c>
      <c r="P91" t="str">
        <f t="shared" si="4"/>
        <v>Mid-Level</v>
      </c>
      <c r="Q91" t="str">
        <f t="shared" si="5"/>
        <v>Needs Improvement</v>
      </c>
    </row>
    <row r="92" spans="1:17" x14ac:dyDescent="0.25">
      <c r="A92">
        <v>1091</v>
      </c>
      <c r="B92" t="s">
        <v>110</v>
      </c>
      <c r="C92" t="s">
        <v>25</v>
      </c>
      <c r="D92">
        <v>34</v>
      </c>
      <c r="E92" t="s">
        <v>16</v>
      </c>
      <c r="F92" t="s">
        <v>34</v>
      </c>
      <c r="G92">
        <v>51817</v>
      </c>
      <c r="H92">
        <v>12</v>
      </c>
      <c r="I92" t="s">
        <v>49</v>
      </c>
      <c r="J92" s="1">
        <v>43814</v>
      </c>
      <c r="K92">
        <v>5</v>
      </c>
      <c r="L92">
        <v>77</v>
      </c>
      <c r="M92">
        <v>10</v>
      </c>
      <c r="N92" t="s">
        <v>19</v>
      </c>
      <c r="O92">
        <f t="shared" si="3"/>
        <v>621804</v>
      </c>
      <c r="P92" t="str">
        <f t="shared" si="4"/>
        <v>Senior</v>
      </c>
      <c r="Q92" t="str">
        <f t="shared" si="5"/>
        <v>Excellent</v>
      </c>
    </row>
    <row r="93" spans="1:17" x14ac:dyDescent="0.25">
      <c r="A93">
        <v>1092</v>
      </c>
      <c r="B93" t="s">
        <v>42</v>
      </c>
      <c r="C93" t="s">
        <v>15</v>
      </c>
      <c r="D93">
        <v>23</v>
      </c>
      <c r="E93" t="s">
        <v>16</v>
      </c>
      <c r="F93" t="s">
        <v>59</v>
      </c>
      <c r="G93">
        <v>32911</v>
      </c>
      <c r="H93">
        <v>6</v>
      </c>
      <c r="I93" t="s">
        <v>29</v>
      </c>
      <c r="J93" s="1">
        <v>45700</v>
      </c>
      <c r="K93">
        <v>2</v>
      </c>
      <c r="L93">
        <v>75</v>
      </c>
      <c r="M93">
        <v>8</v>
      </c>
      <c r="N93" t="s">
        <v>19</v>
      </c>
      <c r="O93">
        <f t="shared" si="3"/>
        <v>394932</v>
      </c>
      <c r="P93" t="str">
        <f t="shared" si="4"/>
        <v>Mid-Level</v>
      </c>
      <c r="Q93" t="str">
        <f t="shared" si="5"/>
        <v>Needs Improvement</v>
      </c>
    </row>
    <row r="94" spans="1:17" x14ac:dyDescent="0.25">
      <c r="A94">
        <v>1093</v>
      </c>
      <c r="B94" t="s">
        <v>89</v>
      </c>
      <c r="C94" t="s">
        <v>15</v>
      </c>
      <c r="D94">
        <v>38</v>
      </c>
      <c r="E94" t="s">
        <v>21</v>
      </c>
      <c r="F94" t="s">
        <v>46</v>
      </c>
      <c r="G94">
        <v>62237</v>
      </c>
      <c r="H94">
        <v>1</v>
      </c>
      <c r="I94" t="s">
        <v>29</v>
      </c>
      <c r="J94" s="1">
        <v>43904</v>
      </c>
      <c r="K94">
        <v>5</v>
      </c>
      <c r="L94">
        <v>92</v>
      </c>
      <c r="M94">
        <v>7</v>
      </c>
      <c r="N94" t="s">
        <v>19</v>
      </c>
      <c r="O94">
        <f t="shared" si="3"/>
        <v>746844</v>
      </c>
      <c r="P94" t="str">
        <f t="shared" si="4"/>
        <v>Junior</v>
      </c>
      <c r="Q94" t="str">
        <f t="shared" si="5"/>
        <v>Excellent</v>
      </c>
    </row>
    <row r="95" spans="1:17" x14ac:dyDescent="0.25">
      <c r="A95">
        <v>1094</v>
      </c>
      <c r="B95" t="s">
        <v>111</v>
      </c>
      <c r="C95" t="s">
        <v>15</v>
      </c>
      <c r="D95">
        <v>45</v>
      </c>
      <c r="E95" t="s">
        <v>27</v>
      </c>
      <c r="F95" t="s">
        <v>28</v>
      </c>
      <c r="G95">
        <v>43460</v>
      </c>
      <c r="H95">
        <v>13</v>
      </c>
      <c r="I95" t="s">
        <v>18</v>
      </c>
      <c r="J95" s="1">
        <v>44013</v>
      </c>
      <c r="K95">
        <v>1</v>
      </c>
      <c r="L95">
        <v>90</v>
      </c>
      <c r="M95">
        <v>25</v>
      </c>
      <c r="N95" t="s">
        <v>40</v>
      </c>
      <c r="O95">
        <f t="shared" si="3"/>
        <v>521520</v>
      </c>
      <c r="P95" t="str">
        <f t="shared" si="4"/>
        <v>Senior</v>
      </c>
      <c r="Q95" t="str">
        <f t="shared" si="5"/>
        <v>Needs Improvement</v>
      </c>
    </row>
    <row r="96" spans="1:17" x14ac:dyDescent="0.25">
      <c r="A96">
        <v>1095</v>
      </c>
      <c r="B96" t="s">
        <v>50</v>
      </c>
      <c r="C96" t="s">
        <v>25</v>
      </c>
      <c r="D96">
        <v>37</v>
      </c>
      <c r="E96" t="s">
        <v>27</v>
      </c>
      <c r="F96" t="s">
        <v>28</v>
      </c>
      <c r="G96">
        <v>54824</v>
      </c>
      <c r="H96">
        <v>2</v>
      </c>
      <c r="I96" t="s">
        <v>23</v>
      </c>
      <c r="J96" s="1">
        <v>44625</v>
      </c>
      <c r="K96">
        <v>1</v>
      </c>
      <c r="L96">
        <v>82</v>
      </c>
      <c r="M96">
        <v>19</v>
      </c>
      <c r="N96" t="s">
        <v>19</v>
      </c>
      <c r="O96">
        <f t="shared" si="3"/>
        <v>657888</v>
      </c>
      <c r="P96" t="str">
        <f t="shared" si="4"/>
        <v>Junior</v>
      </c>
      <c r="Q96" t="str">
        <f t="shared" si="5"/>
        <v>Needs Improvement</v>
      </c>
    </row>
    <row r="97" spans="1:17" x14ac:dyDescent="0.25">
      <c r="A97">
        <v>1096</v>
      </c>
      <c r="B97" t="s">
        <v>38</v>
      </c>
      <c r="C97" t="s">
        <v>15</v>
      </c>
      <c r="D97">
        <v>27</v>
      </c>
      <c r="E97" t="s">
        <v>16</v>
      </c>
      <c r="F97" t="s">
        <v>17</v>
      </c>
      <c r="G97">
        <v>58562</v>
      </c>
      <c r="H97">
        <v>9</v>
      </c>
      <c r="I97" t="s">
        <v>55</v>
      </c>
      <c r="J97" s="1">
        <v>44122</v>
      </c>
      <c r="K97">
        <v>1</v>
      </c>
      <c r="L97">
        <v>91</v>
      </c>
      <c r="M97">
        <v>6</v>
      </c>
      <c r="N97" t="s">
        <v>19</v>
      </c>
      <c r="O97">
        <f t="shared" si="3"/>
        <v>702744</v>
      </c>
      <c r="P97" t="str">
        <f t="shared" si="4"/>
        <v>Senior</v>
      </c>
      <c r="Q97" t="str">
        <f t="shared" si="5"/>
        <v>Needs Improvement</v>
      </c>
    </row>
    <row r="98" spans="1:17" x14ac:dyDescent="0.25">
      <c r="A98">
        <v>1097</v>
      </c>
      <c r="B98" t="s">
        <v>112</v>
      </c>
      <c r="C98" t="s">
        <v>25</v>
      </c>
      <c r="D98">
        <v>40</v>
      </c>
      <c r="E98" t="s">
        <v>27</v>
      </c>
      <c r="F98" t="s">
        <v>51</v>
      </c>
      <c r="G98">
        <v>74227</v>
      </c>
      <c r="H98">
        <v>12</v>
      </c>
      <c r="I98" t="s">
        <v>55</v>
      </c>
      <c r="J98" s="1">
        <v>43104</v>
      </c>
      <c r="K98">
        <v>1</v>
      </c>
      <c r="L98">
        <v>100</v>
      </c>
      <c r="M98">
        <v>14</v>
      </c>
      <c r="N98" t="s">
        <v>40</v>
      </c>
      <c r="O98">
        <f t="shared" si="3"/>
        <v>890724</v>
      </c>
      <c r="P98" t="str">
        <f t="shared" si="4"/>
        <v>Senior</v>
      </c>
      <c r="Q98" t="str">
        <f t="shared" si="5"/>
        <v>Needs Improvement</v>
      </c>
    </row>
    <row r="99" spans="1:17" x14ac:dyDescent="0.25">
      <c r="A99">
        <v>1098</v>
      </c>
      <c r="B99" t="s">
        <v>83</v>
      </c>
      <c r="C99" t="s">
        <v>15</v>
      </c>
      <c r="D99">
        <v>31</v>
      </c>
      <c r="E99" t="s">
        <v>21</v>
      </c>
      <c r="F99" t="s">
        <v>46</v>
      </c>
      <c r="G99">
        <v>32342</v>
      </c>
      <c r="H99">
        <v>6</v>
      </c>
      <c r="I99" t="s">
        <v>29</v>
      </c>
      <c r="J99" s="1">
        <v>44615</v>
      </c>
      <c r="K99">
        <v>2</v>
      </c>
      <c r="L99">
        <v>80</v>
      </c>
      <c r="M99">
        <v>6</v>
      </c>
      <c r="N99" t="s">
        <v>40</v>
      </c>
      <c r="O99">
        <f t="shared" si="3"/>
        <v>388104</v>
      </c>
      <c r="P99" t="str">
        <f t="shared" si="4"/>
        <v>Mid-Level</v>
      </c>
      <c r="Q99" t="str">
        <f t="shared" si="5"/>
        <v>Needs Improvement</v>
      </c>
    </row>
    <row r="100" spans="1:17" x14ac:dyDescent="0.25">
      <c r="A100">
        <v>1099</v>
      </c>
      <c r="B100" t="s">
        <v>75</v>
      </c>
      <c r="C100" t="s">
        <v>15</v>
      </c>
      <c r="D100">
        <v>42</v>
      </c>
      <c r="E100" t="s">
        <v>21</v>
      </c>
      <c r="F100" t="s">
        <v>22</v>
      </c>
      <c r="G100">
        <v>63304</v>
      </c>
      <c r="H100">
        <v>15</v>
      </c>
      <c r="I100" t="s">
        <v>49</v>
      </c>
      <c r="J100" s="1">
        <v>44435</v>
      </c>
      <c r="K100">
        <v>3</v>
      </c>
      <c r="L100">
        <v>88</v>
      </c>
      <c r="M100">
        <v>24</v>
      </c>
      <c r="N100" t="s">
        <v>19</v>
      </c>
      <c r="O100">
        <f t="shared" si="3"/>
        <v>759648</v>
      </c>
      <c r="P100" t="str">
        <f t="shared" si="4"/>
        <v>Senior</v>
      </c>
      <c r="Q100" t="str">
        <f t="shared" si="5"/>
        <v>Needs Improvement</v>
      </c>
    </row>
    <row r="101" spans="1:17" x14ac:dyDescent="0.25">
      <c r="A101">
        <v>1100</v>
      </c>
      <c r="B101" t="s">
        <v>113</v>
      </c>
      <c r="C101" t="s">
        <v>25</v>
      </c>
      <c r="D101">
        <v>39</v>
      </c>
      <c r="E101" t="s">
        <v>21</v>
      </c>
      <c r="F101" t="s">
        <v>22</v>
      </c>
      <c r="G101">
        <v>79623</v>
      </c>
      <c r="H101">
        <v>14</v>
      </c>
      <c r="I101" t="s">
        <v>55</v>
      </c>
      <c r="J101" s="1">
        <v>44849</v>
      </c>
      <c r="K101">
        <v>3</v>
      </c>
      <c r="L101">
        <v>82</v>
      </c>
      <c r="M101">
        <v>0</v>
      </c>
      <c r="N101" t="s">
        <v>40</v>
      </c>
      <c r="O101">
        <f t="shared" si="3"/>
        <v>955476</v>
      </c>
      <c r="P101" t="str">
        <f t="shared" si="4"/>
        <v>Senior</v>
      </c>
      <c r="Q101" t="str">
        <f t="shared" si="5"/>
        <v>Needs Improvement</v>
      </c>
    </row>
    <row r="102" spans="1:17" x14ac:dyDescent="0.25">
      <c r="A102">
        <v>1101</v>
      </c>
      <c r="B102" t="s">
        <v>114</v>
      </c>
      <c r="C102" t="s">
        <v>15</v>
      </c>
      <c r="D102">
        <v>24</v>
      </c>
      <c r="E102" t="s">
        <v>16</v>
      </c>
      <c r="F102" t="s">
        <v>17</v>
      </c>
      <c r="G102">
        <v>83049</v>
      </c>
      <c r="H102">
        <v>11</v>
      </c>
      <c r="I102" t="s">
        <v>49</v>
      </c>
      <c r="J102" s="1">
        <v>43252</v>
      </c>
      <c r="K102">
        <v>1</v>
      </c>
      <c r="L102">
        <v>91</v>
      </c>
      <c r="M102">
        <v>9</v>
      </c>
      <c r="N102" t="s">
        <v>19</v>
      </c>
      <c r="O102">
        <f t="shared" si="3"/>
        <v>996588</v>
      </c>
      <c r="P102" t="str">
        <f t="shared" si="4"/>
        <v>Senior</v>
      </c>
      <c r="Q102" t="str">
        <f t="shared" si="5"/>
        <v>Needs Improvement</v>
      </c>
    </row>
    <row r="103" spans="1:17" x14ac:dyDescent="0.25">
      <c r="A103">
        <v>1102</v>
      </c>
      <c r="B103" t="s">
        <v>115</v>
      </c>
      <c r="C103" t="s">
        <v>15</v>
      </c>
      <c r="D103">
        <v>41</v>
      </c>
      <c r="E103" t="s">
        <v>31</v>
      </c>
      <c r="F103" t="s">
        <v>32</v>
      </c>
      <c r="G103">
        <v>43875</v>
      </c>
      <c r="H103">
        <v>14</v>
      </c>
      <c r="I103" t="s">
        <v>23</v>
      </c>
      <c r="J103" s="1">
        <v>45831</v>
      </c>
      <c r="K103">
        <v>4</v>
      </c>
      <c r="L103">
        <v>87</v>
      </c>
      <c r="M103">
        <v>24</v>
      </c>
      <c r="N103" t="s">
        <v>19</v>
      </c>
      <c r="O103">
        <f t="shared" si="3"/>
        <v>526500</v>
      </c>
      <c r="P103" t="str">
        <f t="shared" si="4"/>
        <v>Senior</v>
      </c>
      <c r="Q103" t="str">
        <f t="shared" si="5"/>
        <v>Excellent</v>
      </c>
    </row>
    <row r="104" spans="1:17" x14ac:dyDescent="0.25">
      <c r="A104">
        <v>1103</v>
      </c>
      <c r="B104" t="s">
        <v>20</v>
      </c>
      <c r="C104" t="s">
        <v>15</v>
      </c>
      <c r="D104">
        <v>33</v>
      </c>
      <c r="E104" t="s">
        <v>21</v>
      </c>
      <c r="F104" t="s">
        <v>46</v>
      </c>
      <c r="G104">
        <v>58550</v>
      </c>
      <c r="H104">
        <v>12</v>
      </c>
      <c r="I104" t="s">
        <v>18</v>
      </c>
      <c r="J104" s="1">
        <v>43656</v>
      </c>
      <c r="K104">
        <v>1</v>
      </c>
      <c r="L104">
        <v>100</v>
      </c>
      <c r="M104">
        <v>26</v>
      </c>
      <c r="N104" t="s">
        <v>19</v>
      </c>
      <c r="O104">
        <f t="shared" si="3"/>
        <v>702600</v>
      </c>
      <c r="P104" t="str">
        <f t="shared" si="4"/>
        <v>Senior</v>
      </c>
      <c r="Q104" t="str">
        <f t="shared" si="5"/>
        <v>Needs Improvement</v>
      </c>
    </row>
    <row r="105" spans="1:17" x14ac:dyDescent="0.25">
      <c r="A105">
        <v>1104</v>
      </c>
      <c r="B105" t="s">
        <v>116</v>
      </c>
      <c r="C105" t="s">
        <v>15</v>
      </c>
      <c r="D105">
        <v>35</v>
      </c>
      <c r="E105" t="s">
        <v>21</v>
      </c>
      <c r="F105" t="s">
        <v>22</v>
      </c>
      <c r="G105">
        <v>51142</v>
      </c>
      <c r="H105">
        <v>5</v>
      </c>
      <c r="I105" t="s">
        <v>18</v>
      </c>
      <c r="J105" s="1">
        <v>45484</v>
      </c>
      <c r="K105">
        <v>4</v>
      </c>
      <c r="L105">
        <v>100</v>
      </c>
      <c r="M105">
        <v>22</v>
      </c>
      <c r="N105" t="s">
        <v>19</v>
      </c>
      <c r="O105">
        <f t="shared" si="3"/>
        <v>613704</v>
      </c>
      <c r="P105" t="str">
        <f t="shared" si="4"/>
        <v>Mid-Level</v>
      </c>
      <c r="Q105" t="str">
        <f t="shared" si="5"/>
        <v>Excellent</v>
      </c>
    </row>
    <row r="106" spans="1:17" x14ac:dyDescent="0.25">
      <c r="A106">
        <v>1105</v>
      </c>
      <c r="B106" t="s">
        <v>52</v>
      </c>
      <c r="C106" t="s">
        <v>15</v>
      </c>
      <c r="D106">
        <v>28</v>
      </c>
      <c r="E106" t="s">
        <v>31</v>
      </c>
      <c r="F106" t="s">
        <v>32</v>
      </c>
      <c r="G106">
        <v>62107</v>
      </c>
      <c r="H106">
        <v>4</v>
      </c>
      <c r="I106" t="s">
        <v>29</v>
      </c>
      <c r="J106" s="1">
        <v>45179</v>
      </c>
      <c r="K106">
        <v>2</v>
      </c>
      <c r="L106">
        <v>86</v>
      </c>
      <c r="M106">
        <v>21</v>
      </c>
      <c r="N106" t="s">
        <v>19</v>
      </c>
      <c r="O106">
        <f t="shared" si="3"/>
        <v>745284</v>
      </c>
      <c r="P106" t="str">
        <f t="shared" si="4"/>
        <v>Mid-Level</v>
      </c>
      <c r="Q106" t="str">
        <f t="shared" si="5"/>
        <v>Needs Improvement</v>
      </c>
    </row>
    <row r="107" spans="1:17" x14ac:dyDescent="0.25">
      <c r="A107">
        <v>1106</v>
      </c>
      <c r="B107" t="s">
        <v>117</v>
      </c>
      <c r="C107" t="s">
        <v>25</v>
      </c>
      <c r="D107">
        <v>36</v>
      </c>
      <c r="E107" t="s">
        <v>21</v>
      </c>
      <c r="F107" t="s">
        <v>46</v>
      </c>
      <c r="G107">
        <v>34295</v>
      </c>
      <c r="H107">
        <v>2</v>
      </c>
      <c r="I107" t="s">
        <v>55</v>
      </c>
      <c r="J107" s="1">
        <v>44581</v>
      </c>
      <c r="K107">
        <v>1</v>
      </c>
      <c r="L107">
        <v>83</v>
      </c>
      <c r="M107">
        <v>21</v>
      </c>
      <c r="N107" t="s">
        <v>19</v>
      </c>
      <c r="O107">
        <f t="shared" si="3"/>
        <v>411540</v>
      </c>
      <c r="P107" t="str">
        <f t="shared" si="4"/>
        <v>Junior</v>
      </c>
      <c r="Q107" t="str">
        <f t="shared" si="5"/>
        <v>Needs Improvement</v>
      </c>
    </row>
    <row r="108" spans="1:17" x14ac:dyDescent="0.25">
      <c r="A108">
        <v>1107</v>
      </c>
      <c r="B108" t="s">
        <v>118</v>
      </c>
      <c r="C108" t="s">
        <v>25</v>
      </c>
      <c r="D108">
        <v>34</v>
      </c>
      <c r="E108" t="s">
        <v>16</v>
      </c>
      <c r="F108" t="s">
        <v>17</v>
      </c>
      <c r="G108">
        <v>38556</v>
      </c>
      <c r="H108">
        <v>13</v>
      </c>
      <c r="I108" t="s">
        <v>23</v>
      </c>
      <c r="J108" s="1">
        <v>43597</v>
      </c>
      <c r="K108">
        <v>3</v>
      </c>
      <c r="L108">
        <v>87</v>
      </c>
      <c r="M108">
        <v>17</v>
      </c>
      <c r="N108" t="s">
        <v>19</v>
      </c>
      <c r="O108">
        <f t="shared" si="3"/>
        <v>462672</v>
      </c>
      <c r="P108" t="str">
        <f t="shared" si="4"/>
        <v>Senior</v>
      </c>
      <c r="Q108" t="str">
        <f t="shared" si="5"/>
        <v>Needs Improvement</v>
      </c>
    </row>
    <row r="109" spans="1:17" x14ac:dyDescent="0.25">
      <c r="A109">
        <v>1108</v>
      </c>
      <c r="B109" t="s">
        <v>75</v>
      </c>
      <c r="C109" t="s">
        <v>25</v>
      </c>
      <c r="D109">
        <v>30</v>
      </c>
      <c r="E109" t="s">
        <v>16</v>
      </c>
      <c r="F109" t="s">
        <v>59</v>
      </c>
      <c r="G109">
        <v>38554</v>
      </c>
      <c r="H109">
        <v>15</v>
      </c>
      <c r="I109" t="s">
        <v>49</v>
      </c>
      <c r="J109" s="1">
        <v>44073</v>
      </c>
      <c r="K109">
        <v>5</v>
      </c>
      <c r="L109">
        <v>84</v>
      </c>
      <c r="M109">
        <v>21</v>
      </c>
      <c r="N109" t="s">
        <v>19</v>
      </c>
      <c r="O109">
        <f t="shared" si="3"/>
        <v>462648</v>
      </c>
      <c r="P109" t="str">
        <f t="shared" si="4"/>
        <v>Senior</v>
      </c>
      <c r="Q109" t="str">
        <f t="shared" si="5"/>
        <v>Excellent</v>
      </c>
    </row>
    <row r="110" spans="1:17" x14ac:dyDescent="0.25">
      <c r="A110">
        <v>1109</v>
      </c>
      <c r="B110" t="s">
        <v>30</v>
      </c>
      <c r="C110" t="s">
        <v>15</v>
      </c>
      <c r="D110">
        <v>29</v>
      </c>
      <c r="E110" t="s">
        <v>36</v>
      </c>
      <c r="F110" t="s">
        <v>72</v>
      </c>
      <c r="G110">
        <v>59192</v>
      </c>
      <c r="H110">
        <v>13</v>
      </c>
      <c r="I110" t="s">
        <v>55</v>
      </c>
      <c r="J110" s="1">
        <v>44322</v>
      </c>
      <c r="K110">
        <v>3</v>
      </c>
      <c r="L110">
        <v>95</v>
      </c>
      <c r="M110">
        <v>15</v>
      </c>
      <c r="N110" t="s">
        <v>19</v>
      </c>
      <c r="O110">
        <f t="shared" si="3"/>
        <v>710304</v>
      </c>
      <c r="P110" t="str">
        <f t="shared" si="4"/>
        <v>Senior</v>
      </c>
      <c r="Q110" t="str">
        <f t="shared" si="5"/>
        <v>Needs Improvement</v>
      </c>
    </row>
    <row r="111" spans="1:17" x14ac:dyDescent="0.25">
      <c r="A111">
        <v>1110</v>
      </c>
      <c r="B111" t="s">
        <v>54</v>
      </c>
      <c r="C111" t="s">
        <v>15</v>
      </c>
      <c r="D111">
        <v>23</v>
      </c>
      <c r="E111" t="s">
        <v>27</v>
      </c>
      <c r="F111" t="s">
        <v>28</v>
      </c>
      <c r="G111">
        <v>36074</v>
      </c>
      <c r="H111">
        <v>1</v>
      </c>
      <c r="I111" t="s">
        <v>18</v>
      </c>
      <c r="J111" s="1">
        <v>44959</v>
      </c>
      <c r="K111">
        <v>4</v>
      </c>
      <c r="L111">
        <v>81</v>
      </c>
      <c r="M111">
        <v>15</v>
      </c>
      <c r="N111" t="s">
        <v>19</v>
      </c>
      <c r="O111">
        <f t="shared" si="3"/>
        <v>432888</v>
      </c>
      <c r="P111" t="str">
        <f t="shared" si="4"/>
        <v>Junior</v>
      </c>
      <c r="Q111" t="str">
        <f t="shared" si="5"/>
        <v>Excellent</v>
      </c>
    </row>
    <row r="112" spans="1:17" x14ac:dyDescent="0.25">
      <c r="A112">
        <v>1111</v>
      </c>
      <c r="B112" t="s">
        <v>26</v>
      </c>
      <c r="C112" t="s">
        <v>25</v>
      </c>
      <c r="D112">
        <v>32</v>
      </c>
      <c r="E112" t="s">
        <v>31</v>
      </c>
      <c r="F112" t="s">
        <v>43</v>
      </c>
      <c r="G112">
        <v>51010</v>
      </c>
      <c r="H112">
        <v>14</v>
      </c>
      <c r="I112" t="s">
        <v>18</v>
      </c>
      <c r="J112" s="1">
        <v>45203</v>
      </c>
      <c r="K112">
        <v>3</v>
      </c>
      <c r="L112">
        <v>97</v>
      </c>
      <c r="M112">
        <v>19</v>
      </c>
      <c r="N112" t="s">
        <v>40</v>
      </c>
      <c r="O112">
        <f t="shared" si="3"/>
        <v>612120</v>
      </c>
      <c r="P112" t="str">
        <f t="shared" si="4"/>
        <v>Senior</v>
      </c>
      <c r="Q112" t="str">
        <f t="shared" si="5"/>
        <v>Needs Improvement</v>
      </c>
    </row>
    <row r="113" spans="1:17" x14ac:dyDescent="0.25">
      <c r="A113">
        <v>1112</v>
      </c>
      <c r="B113" t="s">
        <v>117</v>
      </c>
      <c r="C113" t="s">
        <v>25</v>
      </c>
      <c r="D113">
        <v>33</v>
      </c>
      <c r="E113" t="s">
        <v>36</v>
      </c>
      <c r="F113" t="s">
        <v>72</v>
      </c>
      <c r="G113">
        <v>89951</v>
      </c>
      <c r="H113">
        <v>5</v>
      </c>
      <c r="I113" t="s">
        <v>49</v>
      </c>
      <c r="J113" s="1">
        <v>45514</v>
      </c>
      <c r="K113">
        <v>4</v>
      </c>
      <c r="L113">
        <v>75</v>
      </c>
      <c r="M113">
        <v>10</v>
      </c>
      <c r="N113" t="s">
        <v>19</v>
      </c>
      <c r="O113">
        <f t="shared" si="3"/>
        <v>1079412</v>
      </c>
      <c r="P113" t="str">
        <f t="shared" si="4"/>
        <v>Mid-Level</v>
      </c>
      <c r="Q113" t="str">
        <f t="shared" si="5"/>
        <v>Excellent</v>
      </c>
    </row>
    <row r="114" spans="1:17" x14ac:dyDescent="0.25">
      <c r="A114">
        <v>1113</v>
      </c>
      <c r="B114" t="s">
        <v>119</v>
      </c>
      <c r="C114" t="s">
        <v>25</v>
      </c>
      <c r="D114">
        <v>38</v>
      </c>
      <c r="E114" t="s">
        <v>27</v>
      </c>
      <c r="F114" t="s">
        <v>51</v>
      </c>
      <c r="G114">
        <v>68590</v>
      </c>
      <c r="H114">
        <v>1</v>
      </c>
      <c r="I114" t="s">
        <v>55</v>
      </c>
      <c r="J114" s="1">
        <v>43871</v>
      </c>
      <c r="K114">
        <v>5</v>
      </c>
      <c r="L114">
        <v>78</v>
      </c>
      <c r="M114">
        <v>13</v>
      </c>
      <c r="N114" t="s">
        <v>40</v>
      </c>
      <c r="O114">
        <f t="shared" si="3"/>
        <v>823080</v>
      </c>
      <c r="P114" t="str">
        <f t="shared" si="4"/>
        <v>Junior</v>
      </c>
      <c r="Q114" t="str">
        <f t="shared" si="5"/>
        <v>Excellent</v>
      </c>
    </row>
    <row r="115" spans="1:17" x14ac:dyDescent="0.25">
      <c r="A115">
        <v>1114</v>
      </c>
      <c r="B115" t="s">
        <v>120</v>
      </c>
      <c r="C115" t="s">
        <v>15</v>
      </c>
      <c r="D115">
        <v>22</v>
      </c>
      <c r="E115" t="s">
        <v>16</v>
      </c>
      <c r="F115" t="s">
        <v>34</v>
      </c>
      <c r="G115">
        <v>39901</v>
      </c>
      <c r="H115">
        <v>4</v>
      </c>
      <c r="I115" t="s">
        <v>55</v>
      </c>
      <c r="J115" s="1">
        <v>45871</v>
      </c>
      <c r="K115">
        <v>4</v>
      </c>
      <c r="L115">
        <v>95</v>
      </c>
      <c r="M115">
        <v>20</v>
      </c>
      <c r="N115" t="s">
        <v>40</v>
      </c>
      <c r="O115">
        <f t="shared" si="3"/>
        <v>478812</v>
      </c>
      <c r="P115" t="str">
        <f t="shared" si="4"/>
        <v>Mid-Level</v>
      </c>
      <c r="Q115" t="str">
        <f t="shared" si="5"/>
        <v>Excellent</v>
      </c>
    </row>
    <row r="116" spans="1:17" x14ac:dyDescent="0.25">
      <c r="A116">
        <v>1115</v>
      </c>
      <c r="B116" t="s">
        <v>60</v>
      </c>
      <c r="C116" t="s">
        <v>15</v>
      </c>
      <c r="D116">
        <v>28</v>
      </c>
      <c r="E116" t="s">
        <v>21</v>
      </c>
      <c r="F116" t="s">
        <v>46</v>
      </c>
      <c r="G116">
        <v>76123</v>
      </c>
      <c r="H116">
        <v>2</v>
      </c>
      <c r="I116" t="s">
        <v>18</v>
      </c>
      <c r="J116" s="1">
        <v>43314</v>
      </c>
      <c r="K116">
        <v>4</v>
      </c>
      <c r="L116">
        <v>91</v>
      </c>
      <c r="M116">
        <v>15</v>
      </c>
      <c r="N116" t="s">
        <v>19</v>
      </c>
      <c r="O116">
        <f t="shared" si="3"/>
        <v>913476</v>
      </c>
      <c r="P116" t="str">
        <f t="shared" si="4"/>
        <v>Junior</v>
      </c>
      <c r="Q116" t="str">
        <f t="shared" si="5"/>
        <v>Excellent</v>
      </c>
    </row>
    <row r="117" spans="1:17" x14ac:dyDescent="0.25">
      <c r="A117">
        <v>1116</v>
      </c>
      <c r="B117" t="s">
        <v>121</v>
      </c>
      <c r="C117" t="s">
        <v>15</v>
      </c>
      <c r="D117">
        <v>34</v>
      </c>
      <c r="E117" t="s">
        <v>16</v>
      </c>
      <c r="F117" t="s">
        <v>17</v>
      </c>
      <c r="G117">
        <v>59320</v>
      </c>
      <c r="H117">
        <v>9</v>
      </c>
      <c r="I117" t="s">
        <v>55</v>
      </c>
      <c r="J117" s="1">
        <v>44079</v>
      </c>
      <c r="K117">
        <v>1</v>
      </c>
      <c r="L117">
        <v>92</v>
      </c>
      <c r="M117">
        <v>18</v>
      </c>
      <c r="N117" t="s">
        <v>19</v>
      </c>
      <c r="O117">
        <f t="shared" si="3"/>
        <v>711840</v>
      </c>
      <c r="P117" t="str">
        <f t="shared" si="4"/>
        <v>Senior</v>
      </c>
      <c r="Q117" t="str">
        <f t="shared" si="5"/>
        <v>Needs Improvement</v>
      </c>
    </row>
    <row r="118" spans="1:17" x14ac:dyDescent="0.25">
      <c r="A118">
        <v>1117</v>
      </c>
      <c r="B118" t="s">
        <v>122</v>
      </c>
      <c r="C118" t="s">
        <v>25</v>
      </c>
      <c r="D118">
        <v>24</v>
      </c>
      <c r="E118" t="s">
        <v>16</v>
      </c>
      <c r="F118" t="s">
        <v>59</v>
      </c>
      <c r="G118">
        <v>66704</v>
      </c>
      <c r="H118">
        <v>3</v>
      </c>
      <c r="I118" t="s">
        <v>29</v>
      </c>
      <c r="J118" s="1">
        <v>44428</v>
      </c>
      <c r="K118">
        <v>4</v>
      </c>
      <c r="L118">
        <v>77</v>
      </c>
      <c r="M118">
        <v>8</v>
      </c>
      <c r="N118" t="s">
        <v>19</v>
      </c>
      <c r="O118">
        <f t="shared" si="3"/>
        <v>800448</v>
      </c>
      <c r="P118" t="str">
        <f t="shared" si="4"/>
        <v>Mid-Level</v>
      </c>
      <c r="Q118" t="str">
        <f t="shared" si="5"/>
        <v>Excellent</v>
      </c>
    </row>
    <row r="119" spans="1:17" x14ac:dyDescent="0.25">
      <c r="A119">
        <v>1118</v>
      </c>
      <c r="B119" t="s">
        <v>123</v>
      </c>
      <c r="C119" t="s">
        <v>25</v>
      </c>
      <c r="D119">
        <v>38</v>
      </c>
      <c r="E119" t="s">
        <v>27</v>
      </c>
      <c r="F119" t="s">
        <v>51</v>
      </c>
      <c r="G119">
        <v>60427</v>
      </c>
      <c r="H119">
        <v>9</v>
      </c>
      <c r="I119" t="s">
        <v>18</v>
      </c>
      <c r="J119" s="1">
        <v>44651</v>
      </c>
      <c r="K119">
        <v>4</v>
      </c>
      <c r="L119">
        <v>100</v>
      </c>
      <c r="M119">
        <v>14</v>
      </c>
      <c r="N119" t="s">
        <v>40</v>
      </c>
      <c r="O119">
        <f t="shared" si="3"/>
        <v>725124</v>
      </c>
      <c r="P119" t="str">
        <f t="shared" si="4"/>
        <v>Senior</v>
      </c>
      <c r="Q119" t="str">
        <f t="shared" si="5"/>
        <v>Excellent</v>
      </c>
    </row>
    <row r="120" spans="1:17" x14ac:dyDescent="0.25">
      <c r="A120">
        <v>1119</v>
      </c>
      <c r="B120" t="s">
        <v>124</v>
      </c>
      <c r="C120" t="s">
        <v>25</v>
      </c>
      <c r="D120">
        <v>39</v>
      </c>
      <c r="E120" t="s">
        <v>16</v>
      </c>
      <c r="F120" t="s">
        <v>59</v>
      </c>
      <c r="G120">
        <v>70875</v>
      </c>
      <c r="H120">
        <v>5</v>
      </c>
      <c r="I120" t="s">
        <v>55</v>
      </c>
      <c r="J120" s="1">
        <v>43223</v>
      </c>
      <c r="K120">
        <v>2</v>
      </c>
      <c r="L120">
        <v>89</v>
      </c>
      <c r="M120">
        <v>20</v>
      </c>
      <c r="N120" t="s">
        <v>40</v>
      </c>
      <c r="O120">
        <f t="shared" si="3"/>
        <v>850500</v>
      </c>
      <c r="P120" t="str">
        <f t="shared" si="4"/>
        <v>Mid-Level</v>
      </c>
      <c r="Q120" t="str">
        <f t="shared" si="5"/>
        <v>Needs Improvement</v>
      </c>
    </row>
    <row r="121" spans="1:17" x14ac:dyDescent="0.25">
      <c r="A121">
        <v>1120</v>
      </c>
      <c r="B121" t="s">
        <v>41</v>
      </c>
      <c r="C121" t="s">
        <v>25</v>
      </c>
      <c r="D121">
        <v>28</v>
      </c>
      <c r="E121" t="s">
        <v>36</v>
      </c>
      <c r="F121" t="s">
        <v>37</v>
      </c>
      <c r="G121">
        <v>79090</v>
      </c>
      <c r="H121">
        <v>13</v>
      </c>
      <c r="I121" t="s">
        <v>49</v>
      </c>
      <c r="J121" s="1">
        <v>43812</v>
      </c>
      <c r="K121">
        <v>1</v>
      </c>
      <c r="L121">
        <v>85</v>
      </c>
      <c r="M121">
        <v>23</v>
      </c>
      <c r="N121" t="s">
        <v>19</v>
      </c>
      <c r="O121">
        <f t="shared" si="3"/>
        <v>949080</v>
      </c>
      <c r="P121" t="str">
        <f t="shared" si="4"/>
        <v>Senior</v>
      </c>
      <c r="Q121" t="str">
        <f t="shared" si="5"/>
        <v>Needs Improvement</v>
      </c>
    </row>
    <row r="122" spans="1:17" x14ac:dyDescent="0.25">
      <c r="A122">
        <v>1121</v>
      </c>
      <c r="B122" t="s">
        <v>65</v>
      </c>
      <c r="C122" t="s">
        <v>15</v>
      </c>
      <c r="D122">
        <v>32</v>
      </c>
      <c r="E122" t="s">
        <v>36</v>
      </c>
      <c r="F122" t="s">
        <v>57</v>
      </c>
      <c r="G122">
        <v>84620</v>
      </c>
      <c r="H122">
        <v>5</v>
      </c>
      <c r="I122" t="s">
        <v>55</v>
      </c>
      <c r="J122" s="1">
        <v>43421</v>
      </c>
      <c r="K122">
        <v>5</v>
      </c>
      <c r="L122">
        <v>82</v>
      </c>
      <c r="M122">
        <v>16</v>
      </c>
      <c r="N122" t="s">
        <v>19</v>
      </c>
      <c r="O122">
        <f t="shared" si="3"/>
        <v>1015440</v>
      </c>
      <c r="P122" t="str">
        <f t="shared" si="4"/>
        <v>Mid-Level</v>
      </c>
      <c r="Q122" t="str">
        <f t="shared" si="5"/>
        <v>Excellent</v>
      </c>
    </row>
    <row r="123" spans="1:17" x14ac:dyDescent="0.25">
      <c r="A123">
        <v>1122</v>
      </c>
      <c r="B123" t="s">
        <v>125</v>
      </c>
      <c r="C123" t="s">
        <v>25</v>
      </c>
      <c r="D123">
        <v>36</v>
      </c>
      <c r="E123" t="s">
        <v>16</v>
      </c>
      <c r="F123" t="s">
        <v>17</v>
      </c>
      <c r="G123">
        <v>68371</v>
      </c>
      <c r="H123">
        <v>10</v>
      </c>
      <c r="I123" t="s">
        <v>23</v>
      </c>
      <c r="J123" s="1">
        <v>45671</v>
      </c>
      <c r="K123">
        <v>1</v>
      </c>
      <c r="L123">
        <v>100</v>
      </c>
      <c r="M123">
        <v>24</v>
      </c>
      <c r="N123" t="s">
        <v>40</v>
      </c>
      <c r="O123">
        <f t="shared" si="3"/>
        <v>820452</v>
      </c>
      <c r="P123" t="str">
        <f t="shared" si="4"/>
        <v>Senior</v>
      </c>
      <c r="Q123" t="str">
        <f t="shared" si="5"/>
        <v>Needs Improvement</v>
      </c>
    </row>
    <row r="124" spans="1:17" x14ac:dyDescent="0.25">
      <c r="A124">
        <v>1123</v>
      </c>
      <c r="B124" t="s">
        <v>126</v>
      </c>
      <c r="C124" t="s">
        <v>25</v>
      </c>
      <c r="D124">
        <v>29</v>
      </c>
      <c r="E124" t="s">
        <v>16</v>
      </c>
      <c r="F124" t="s">
        <v>59</v>
      </c>
      <c r="G124">
        <v>58384</v>
      </c>
      <c r="H124">
        <v>5</v>
      </c>
      <c r="I124" t="s">
        <v>49</v>
      </c>
      <c r="J124" s="1">
        <v>44265</v>
      </c>
      <c r="K124">
        <v>5</v>
      </c>
      <c r="L124">
        <v>79</v>
      </c>
      <c r="M124">
        <v>23</v>
      </c>
      <c r="N124" t="s">
        <v>19</v>
      </c>
      <c r="O124">
        <f t="shared" si="3"/>
        <v>700608</v>
      </c>
      <c r="P124" t="str">
        <f t="shared" si="4"/>
        <v>Mid-Level</v>
      </c>
      <c r="Q124" t="str">
        <f t="shared" si="5"/>
        <v>Excellent</v>
      </c>
    </row>
    <row r="125" spans="1:17" x14ac:dyDescent="0.25">
      <c r="A125">
        <v>1124</v>
      </c>
      <c r="B125" t="s">
        <v>110</v>
      </c>
      <c r="C125" t="s">
        <v>15</v>
      </c>
      <c r="D125">
        <v>25</v>
      </c>
      <c r="E125" t="s">
        <v>36</v>
      </c>
      <c r="F125" t="s">
        <v>72</v>
      </c>
      <c r="G125">
        <v>86811</v>
      </c>
      <c r="H125">
        <v>1</v>
      </c>
      <c r="I125" t="s">
        <v>29</v>
      </c>
      <c r="J125" s="1">
        <v>44433</v>
      </c>
      <c r="K125">
        <v>5</v>
      </c>
      <c r="L125">
        <v>97</v>
      </c>
      <c r="M125">
        <v>23</v>
      </c>
      <c r="N125" t="s">
        <v>19</v>
      </c>
      <c r="O125">
        <f t="shared" si="3"/>
        <v>1041732</v>
      </c>
      <c r="P125" t="str">
        <f t="shared" si="4"/>
        <v>Junior</v>
      </c>
      <c r="Q125" t="str">
        <f t="shared" si="5"/>
        <v>Excellent</v>
      </c>
    </row>
    <row r="126" spans="1:17" x14ac:dyDescent="0.25">
      <c r="A126">
        <v>1125</v>
      </c>
      <c r="B126" t="s">
        <v>103</v>
      </c>
      <c r="C126" t="s">
        <v>15</v>
      </c>
      <c r="D126">
        <v>32</v>
      </c>
      <c r="E126" t="s">
        <v>27</v>
      </c>
      <c r="F126" t="s">
        <v>28</v>
      </c>
      <c r="G126">
        <v>85134</v>
      </c>
      <c r="H126">
        <v>3</v>
      </c>
      <c r="I126" t="s">
        <v>18</v>
      </c>
      <c r="J126" s="1">
        <v>45864</v>
      </c>
      <c r="K126">
        <v>2</v>
      </c>
      <c r="L126">
        <v>81</v>
      </c>
      <c r="M126">
        <v>18</v>
      </c>
      <c r="N126" t="s">
        <v>19</v>
      </c>
      <c r="O126">
        <f t="shared" si="3"/>
        <v>1021608</v>
      </c>
      <c r="P126" t="str">
        <f t="shared" si="4"/>
        <v>Mid-Level</v>
      </c>
      <c r="Q126" t="str">
        <f t="shared" si="5"/>
        <v>Needs Improvement</v>
      </c>
    </row>
    <row r="127" spans="1:17" x14ac:dyDescent="0.25">
      <c r="A127">
        <v>1126</v>
      </c>
      <c r="B127" t="s">
        <v>127</v>
      </c>
      <c r="C127" t="s">
        <v>25</v>
      </c>
      <c r="D127">
        <v>33</v>
      </c>
      <c r="E127" t="s">
        <v>27</v>
      </c>
      <c r="F127" t="s">
        <v>28</v>
      </c>
      <c r="G127">
        <v>88444</v>
      </c>
      <c r="H127">
        <v>10</v>
      </c>
      <c r="I127" t="s">
        <v>18</v>
      </c>
      <c r="J127" s="1">
        <v>43410</v>
      </c>
      <c r="K127">
        <v>2</v>
      </c>
      <c r="L127">
        <v>91</v>
      </c>
      <c r="M127">
        <v>0</v>
      </c>
      <c r="N127" t="s">
        <v>40</v>
      </c>
      <c r="O127">
        <f t="shared" si="3"/>
        <v>1061328</v>
      </c>
      <c r="P127" t="str">
        <f t="shared" si="4"/>
        <v>Senior</v>
      </c>
      <c r="Q127" t="str">
        <f t="shared" si="5"/>
        <v>Needs Improvement</v>
      </c>
    </row>
    <row r="128" spans="1:17" x14ac:dyDescent="0.25">
      <c r="A128">
        <v>1127</v>
      </c>
      <c r="B128" t="s">
        <v>128</v>
      </c>
      <c r="C128" t="s">
        <v>15</v>
      </c>
      <c r="D128">
        <v>41</v>
      </c>
      <c r="E128" t="s">
        <v>27</v>
      </c>
      <c r="F128" t="s">
        <v>51</v>
      </c>
      <c r="G128">
        <v>57171</v>
      </c>
      <c r="H128">
        <v>14</v>
      </c>
      <c r="I128" t="s">
        <v>49</v>
      </c>
      <c r="J128" s="1">
        <v>46098</v>
      </c>
      <c r="K128">
        <v>1</v>
      </c>
      <c r="L128">
        <v>87</v>
      </c>
      <c r="M128">
        <v>15</v>
      </c>
      <c r="N128" t="s">
        <v>19</v>
      </c>
      <c r="O128">
        <f t="shared" si="3"/>
        <v>686052</v>
      </c>
      <c r="P128" t="str">
        <f t="shared" si="4"/>
        <v>Senior</v>
      </c>
      <c r="Q128" t="str">
        <f t="shared" si="5"/>
        <v>Needs Improvement</v>
      </c>
    </row>
    <row r="129" spans="1:17" x14ac:dyDescent="0.25">
      <c r="A129">
        <v>1128</v>
      </c>
      <c r="B129" t="s">
        <v>129</v>
      </c>
      <c r="C129" t="s">
        <v>25</v>
      </c>
      <c r="D129">
        <v>30</v>
      </c>
      <c r="E129" t="s">
        <v>36</v>
      </c>
      <c r="F129" t="s">
        <v>37</v>
      </c>
      <c r="G129">
        <v>68148</v>
      </c>
      <c r="H129">
        <v>2</v>
      </c>
      <c r="I129" t="s">
        <v>23</v>
      </c>
      <c r="J129" s="1">
        <v>43167</v>
      </c>
      <c r="K129">
        <v>1</v>
      </c>
      <c r="L129">
        <v>90</v>
      </c>
      <c r="M129">
        <v>22</v>
      </c>
      <c r="N129" t="s">
        <v>19</v>
      </c>
      <c r="O129">
        <f t="shared" si="3"/>
        <v>817776</v>
      </c>
      <c r="P129" t="str">
        <f t="shared" si="4"/>
        <v>Junior</v>
      </c>
      <c r="Q129" t="str">
        <f t="shared" si="5"/>
        <v>Needs Improvement</v>
      </c>
    </row>
    <row r="130" spans="1:17" x14ac:dyDescent="0.25">
      <c r="A130">
        <v>1129</v>
      </c>
      <c r="B130" t="s">
        <v>130</v>
      </c>
      <c r="C130" t="s">
        <v>15</v>
      </c>
      <c r="D130">
        <v>43</v>
      </c>
      <c r="E130" t="s">
        <v>36</v>
      </c>
      <c r="F130" t="s">
        <v>72</v>
      </c>
      <c r="G130">
        <v>58173</v>
      </c>
      <c r="H130">
        <v>2</v>
      </c>
      <c r="I130" t="s">
        <v>23</v>
      </c>
      <c r="J130" s="1">
        <v>45153</v>
      </c>
      <c r="K130">
        <v>3</v>
      </c>
      <c r="L130">
        <v>91</v>
      </c>
      <c r="M130">
        <v>4</v>
      </c>
      <c r="N130" t="s">
        <v>40</v>
      </c>
      <c r="O130">
        <f t="shared" si="3"/>
        <v>698076</v>
      </c>
      <c r="P130" t="str">
        <f t="shared" si="4"/>
        <v>Junior</v>
      </c>
      <c r="Q130" t="str">
        <f t="shared" si="5"/>
        <v>Needs Improvement</v>
      </c>
    </row>
    <row r="131" spans="1:17" x14ac:dyDescent="0.25">
      <c r="A131">
        <v>1130</v>
      </c>
      <c r="B131" t="s">
        <v>95</v>
      </c>
      <c r="C131" t="s">
        <v>15</v>
      </c>
      <c r="D131">
        <v>35</v>
      </c>
      <c r="E131" t="s">
        <v>16</v>
      </c>
      <c r="F131" t="s">
        <v>34</v>
      </c>
      <c r="G131">
        <v>51931</v>
      </c>
      <c r="H131">
        <v>2</v>
      </c>
      <c r="I131" t="s">
        <v>23</v>
      </c>
      <c r="J131" s="1">
        <v>45496</v>
      </c>
      <c r="K131">
        <v>5</v>
      </c>
      <c r="L131">
        <v>95</v>
      </c>
      <c r="M131">
        <v>18</v>
      </c>
      <c r="N131" t="s">
        <v>19</v>
      </c>
      <c r="O131">
        <f t="shared" ref="O131:O194" si="6">G131*12</f>
        <v>623172</v>
      </c>
      <c r="P131" t="str">
        <f t="shared" ref="P131:P194" si="7">IF(H131&lt;3,"Junior",IF(H131&lt;7,"Mid-Level","Senior"))</f>
        <v>Junior</v>
      </c>
      <c r="Q131" t="str">
        <f t="shared" ref="Q131:Q194" si="8">IF(K131&gt;=4,"Excellent","Needs Improvement")</f>
        <v>Excellent</v>
      </c>
    </row>
    <row r="132" spans="1:17" x14ac:dyDescent="0.25">
      <c r="A132">
        <v>1131</v>
      </c>
      <c r="B132" t="s">
        <v>131</v>
      </c>
      <c r="C132" t="s">
        <v>15</v>
      </c>
      <c r="D132">
        <v>34</v>
      </c>
      <c r="E132" t="s">
        <v>31</v>
      </c>
      <c r="F132" t="s">
        <v>43</v>
      </c>
      <c r="G132">
        <v>51152</v>
      </c>
      <c r="H132">
        <v>4</v>
      </c>
      <c r="I132" t="s">
        <v>23</v>
      </c>
      <c r="J132" s="1">
        <v>45320</v>
      </c>
      <c r="K132">
        <v>5</v>
      </c>
      <c r="L132">
        <v>96</v>
      </c>
      <c r="M132">
        <v>0</v>
      </c>
      <c r="N132" t="s">
        <v>19</v>
      </c>
      <c r="O132">
        <f t="shared" si="6"/>
        <v>613824</v>
      </c>
      <c r="P132" t="str">
        <f t="shared" si="7"/>
        <v>Mid-Level</v>
      </c>
      <c r="Q132" t="str">
        <f t="shared" si="8"/>
        <v>Excellent</v>
      </c>
    </row>
    <row r="133" spans="1:17" x14ac:dyDescent="0.25">
      <c r="A133">
        <v>1132</v>
      </c>
      <c r="B133" t="s">
        <v>132</v>
      </c>
      <c r="C133" t="s">
        <v>25</v>
      </c>
      <c r="D133">
        <v>40</v>
      </c>
      <c r="E133" t="s">
        <v>21</v>
      </c>
      <c r="F133" t="s">
        <v>46</v>
      </c>
      <c r="G133">
        <v>68836</v>
      </c>
      <c r="H133">
        <v>9</v>
      </c>
      <c r="I133" t="s">
        <v>49</v>
      </c>
      <c r="J133" s="1">
        <v>44490</v>
      </c>
      <c r="K133">
        <v>4</v>
      </c>
      <c r="L133">
        <v>76</v>
      </c>
      <c r="M133">
        <v>13</v>
      </c>
      <c r="N133" t="s">
        <v>19</v>
      </c>
      <c r="O133">
        <f t="shared" si="6"/>
        <v>826032</v>
      </c>
      <c r="P133" t="str">
        <f t="shared" si="7"/>
        <v>Senior</v>
      </c>
      <c r="Q133" t="str">
        <f t="shared" si="8"/>
        <v>Excellent</v>
      </c>
    </row>
    <row r="134" spans="1:17" x14ac:dyDescent="0.25">
      <c r="A134">
        <v>1133</v>
      </c>
      <c r="B134" t="s">
        <v>77</v>
      </c>
      <c r="C134" t="s">
        <v>25</v>
      </c>
      <c r="D134">
        <v>27</v>
      </c>
      <c r="E134" t="s">
        <v>31</v>
      </c>
      <c r="F134" t="s">
        <v>43</v>
      </c>
      <c r="G134">
        <v>40903</v>
      </c>
      <c r="H134">
        <v>7</v>
      </c>
      <c r="I134" t="s">
        <v>18</v>
      </c>
      <c r="J134" s="1">
        <v>44734</v>
      </c>
      <c r="K134">
        <v>3</v>
      </c>
      <c r="L134">
        <v>95</v>
      </c>
      <c r="M134">
        <v>9</v>
      </c>
      <c r="N134" t="s">
        <v>40</v>
      </c>
      <c r="O134">
        <f t="shared" si="6"/>
        <v>490836</v>
      </c>
      <c r="P134" t="str">
        <f t="shared" si="7"/>
        <v>Senior</v>
      </c>
      <c r="Q134" t="str">
        <f t="shared" si="8"/>
        <v>Needs Improvement</v>
      </c>
    </row>
    <row r="135" spans="1:17" x14ac:dyDescent="0.25">
      <c r="A135">
        <v>1134</v>
      </c>
      <c r="B135" t="s">
        <v>133</v>
      </c>
      <c r="C135" t="s">
        <v>15</v>
      </c>
      <c r="D135">
        <v>30</v>
      </c>
      <c r="E135" t="s">
        <v>31</v>
      </c>
      <c r="F135" t="s">
        <v>43</v>
      </c>
      <c r="G135">
        <v>88176</v>
      </c>
      <c r="H135">
        <v>6</v>
      </c>
      <c r="I135" t="s">
        <v>18</v>
      </c>
      <c r="J135" s="1">
        <v>45299</v>
      </c>
      <c r="K135">
        <v>3</v>
      </c>
      <c r="L135">
        <v>95</v>
      </c>
      <c r="M135">
        <v>16</v>
      </c>
      <c r="N135" t="s">
        <v>19</v>
      </c>
      <c r="O135">
        <f t="shared" si="6"/>
        <v>1058112</v>
      </c>
      <c r="P135" t="str">
        <f t="shared" si="7"/>
        <v>Mid-Level</v>
      </c>
      <c r="Q135" t="str">
        <f t="shared" si="8"/>
        <v>Needs Improvement</v>
      </c>
    </row>
    <row r="136" spans="1:17" x14ac:dyDescent="0.25">
      <c r="A136">
        <v>1135</v>
      </c>
      <c r="B136" t="s">
        <v>122</v>
      </c>
      <c r="C136" t="s">
        <v>25</v>
      </c>
      <c r="D136">
        <v>41</v>
      </c>
      <c r="E136" t="s">
        <v>21</v>
      </c>
      <c r="F136" t="s">
        <v>46</v>
      </c>
      <c r="G136">
        <v>34735</v>
      </c>
      <c r="H136">
        <v>6</v>
      </c>
      <c r="I136" t="s">
        <v>29</v>
      </c>
      <c r="J136" s="1">
        <v>43825</v>
      </c>
      <c r="K136">
        <v>2</v>
      </c>
      <c r="L136">
        <v>96</v>
      </c>
      <c r="M136">
        <v>20</v>
      </c>
      <c r="N136" t="s">
        <v>19</v>
      </c>
      <c r="O136">
        <f t="shared" si="6"/>
        <v>416820</v>
      </c>
      <c r="P136" t="str">
        <f t="shared" si="7"/>
        <v>Mid-Level</v>
      </c>
      <c r="Q136" t="str">
        <f t="shared" si="8"/>
        <v>Needs Improvement</v>
      </c>
    </row>
    <row r="137" spans="1:17" x14ac:dyDescent="0.25">
      <c r="A137">
        <v>1136</v>
      </c>
      <c r="B137" t="s">
        <v>134</v>
      </c>
      <c r="C137" t="s">
        <v>25</v>
      </c>
      <c r="D137">
        <v>38</v>
      </c>
      <c r="E137" t="s">
        <v>16</v>
      </c>
      <c r="F137" t="s">
        <v>17</v>
      </c>
      <c r="G137">
        <v>36077</v>
      </c>
      <c r="H137">
        <v>8</v>
      </c>
      <c r="I137" t="s">
        <v>29</v>
      </c>
      <c r="J137" s="1">
        <v>43329</v>
      </c>
      <c r="K137">
        <v>4</v>
      </c>
      <c r="L137">
        <v>92</v>
      </c>
      <c r="M137">
        <v>3</v>
      </c>
      <c r="N137" t="s">
        <v>19</v>
      </c>
      <c r="O137">
        <f t="shared" si="6"/>
        <v>432924</v>
      </c>
      <c r="P137" t="str">
        <f t="shared" si="7"/>
        <v>Senior</v>
      </c>
      <c r="Q137" t="str">
        <f t="shared" si="8"/>
        <v>Excellent</v>
      </c>
    </row>
    <row r="138" spans="1:17" x14ac:dyDescent="0.25">
      <c r="A138">
        <v>1137</v>
      </c>
      <c r="B138" t="s">
        <v>135</v>
      </c>
      <c r="C138" t="s">
        <v>15</v>
      </c>
      <c r="D138">
        <v>29</v>
      </c>
      <c r="E138" t="s">
        <v>31</v>
      </c>
      <c r="F138" t="s">
        <v>43</v>
      </c>
      <c r="G138">
        <v>82635</v>
      </c>
      <c r="H138">
        <v>10</v>
      </c>
      <c r="I138" t="s">
        <v>49</v>
      </c>
      <c r="J138" s="1">
        <v>45856</v>
      </c>
      <c r="K138">
        <v>4</v>
      </c>
      <c r="L138">
        <v>92</v>
      </c>
      <c r="M138">
        <v>9</v>
      </c>
      <c r="N138" t="s">
        <v>19</v>
      </c>
      <c r="O138">
        <f t="shared" si="6"/>
        <v>991620</v>
      </c>
      <c r="P138" t="str">
        <f t="shared" si="7"/>
        <v>Senior</v>
      </c>
      <c r="Q138" t="str">
        <f t="shared" si="8"/>
        <v>Excellent</v>
      </c>
    </row>
    <row r="139" spans="1:17" x14ac:dyDescent="0.25">
      <c r="A139">
        <v>1138</v>
      </c>
      <c r="B139" t="s">
        <v>136</v>
      </c>
      <c r="C139" t="s">
        <v>15</v>
      </c>
      <c r="D139">
        <v>32</v>
      </c>
      <c r="E139" t="s">
        <v>21</v>
      </c>
      <c r="F139" t="s">
        <v>46</v>
      </c>
      <c r="G139">
        <v>60796</v>
      </c>
      <c r="H139">
        <v>1</v>
      </c>
      <c r="I139" t="s">
        <v>49</v>
      </c>
      <c r="J139" s="1">
        <v>43137</v>
      </c>
      <c r="K139">
        <v>3</v>
      </c>
      <c r="L139">
        <v>83</v>
      </c>
      <c r="M139">
        <v>28</v>
      </c>
      <c r="N139" t="s">
        <v>40</v>
      </c>
      <c r="O139">
        <f t="shared" si="6"/>
        <v>729552</v>
      </c>
      <c r="P139" t="str">
        <f t="shared" si="7"/>
        <v>Junior</v>
      </c>
      <c r="Q139" t="str">
        <f t="shared" si="8"/>
        <v>Needs Improvement</v>
      </c>
    </row>
    <row r="140" spans="1:17" x14ac:dyDescent="0.25">
      <c r="A140">
        <v>1139</v>
      </c>
      <c r="B140" t="s">
        <v>137</v>
      </c>
      <c r="C140" t="s">
        <v>25</v>
      </c>
      <c r="D140">
        <v>36</v>
      </c>
      <c r="E140" t="s">
        <v>21</v>
      </c>
      <c r="F140" t="s">
        <v>22</v>
      </c>
      <c r="G140">
        <v>72282</v>
      </c>
      <c r="H140">
        <v>12</v>
      </c>
      <c r="I140" t="s">
        <v>55</v>
      </c>
      <c r="J140" s="1">
        <v>45821</v>
      </c>
      <c r="K140">
        <v>4</v>
      </c>
      <c r="L140">
        <v>99</v>
      </c>
      <c r="M140">
        <v>15</v>
      </c>
      <c r="N140" t="s">
        <v>19</v>
      </c>
      <c r="O140">
        <f t="shared" si="6"/>
        <v>867384</v>
      </c>
      <c r="P140" t="str">
        <f t="shared" si="7"/>
        <v>Senior</v>
      </c>
      <c r="Q140" t="str">
        <f t="shared" si="8"/>
        <v>Excellent</v>
      </c>
    </row>
    <row r="141" spans="1:17" x14ac:dyDescent="0.25">
      <c r="A141">
        <v>1140</v>
      </c>
      <c r="B141" t="s">
        <v>26</v>
      </c>
      <c r="C141" t="s">
        <v>25</v>
      </c>
      <c r="D141">
        <v>28</v>
      </c>
      <c r="E141" t="s">
        <v>16</v>
      </c>
      <c r="F141" t="s">
        <v>17</v>
      </c>
      <c r="G141">
        <v>84911</v>
      </c>
      <c r="H141">
        <v>7</v>
      </c>
      <c r="I141" t="s">
        <v>55</v>
      </c>
      <c r="J141" s="1">
        <v>43902</v>
      </c>
      <c r="K141">
        <v>4</v>
      </c>
      <c r="L141">
        <v>93</v>
      </c>
      <c r="M141">
        <v>14</v>
      </c>
      <c r="N141" t="s">
        <v>19</v>
      </c>
      <c r="O141">
        <f t="shared" si="6"/>
        <v>1018932</v>
      </c>
      <c r="P141" t="str">
        <f t="shared" si="7"/>
        <v>Senior</v>
      </c>
      <c r="Q141" t="str">
        <f t="shared" si="8"/>
        <v>Excellent</v>
      </c>
    </row>
    <row r="142" spans="1:17" x14ac:dyDescent="0.25">
      <c r="A142">
        <v>1141</v>
      </c>
      <c r="B142" t="s">
        <v>138</v>
      </c>
      <c r="C142" t="s">
        <v>25</v>
      </c>
      <c r="D142">
        <v>45</v>
      </c>
      <c r="E142" t="s">
        <v>21</v>
      </c>
      <c r="F142" t="s">
        <v>22</v>
      </c>
      <c r="G142">
        <v>47302</v>
      </c>
      <c r="H142">
        <v>15</v>
      </c>
      <c r="I142" t="s">
        <v>29</v>
      </c>
      <c r="J142" s="1">
        <v>44866</v>
      </c>
      <c r="K142">
        <v>4</v>
      </c>
      <c r="L142">
        <v>92</v>
      </c>
      <c r="M142">
        <v>17</v>
      </c>
      <c r="N142" t="s">
        <v>19</v>
      </c>
      <c r="O142">
        <f t="shared" si="6"/>
        <v>567624</v>
      </c>
      <c r="P142" t="str">
        <f t="shared" si="7"/>
        <v>Senior</v>
      </c>
      <c r="Q142" t="str">
        <f t="shared" si="8"/>
        <v>Excellent</v>
      </c>
    </row>
    <row r="143" spans="1:17" x14ac:dyDescent="0.25">
      <c r="A143">
        <v>1142</v>
      </c>
      <c r="B143" t="s">
        <v>81</v>
      </c>
      <c r="C143" t="s">
        <v>15</v>
      </c>
      <c r="D143">
        <v>45</v>
      </c>
      <c r="E143" t="s">
        <v>31</v>
      </c>
      <c r="F143" t="s">
        <v>32</v>
      </c>
      <c r="G143">
        <v>56913</v>
      </c>
      <c r="H143">
        <v>15</v>
      </c>
      <c r="I143" t="s">
        <v>49</v>
      </c>
      <c r="J143" s="1">
        <v>45314</v>
      </c>
      <c r="K143">
        <v>3</v>
      </c>
      <c r="L143">
        <v>99</v>
      </c>
      <c r="M143">
        <v>18</v>
      </c>
      <c r="N143" t="s">
        <v>19</v>
      </c>
      <c r="O143">
        <f t="shared" si="6"/>
        <v>682956</v>
      </c>
      <c r="P143" t="str">
        <f t="shared" si="7"/>
        <v>Senior</v>
      </c>
      <c r="Q143" t="str">
        <f t="shared" si="8"/>
        <v>Needs Improvement</v>
      </c>
    </row>
    <row r="144" spans="1:17" x14ac:dyDescent="0.25">
      <c r="A144">
        <v>1143</v>
      </c>
      <c r="B144" t="s">
        <v>68</v>
      </c>
      <c r="C144" t="s">
        <v>15</v>
      </c>
      <c r="D144">
        <v>27</v>
      </c>
      <c r="E144" t="s">
        <v>36</v>
      </c>
      <c r="F144" t="s">
        <v>57</v>
      </c>
      <c r="G144">
        <v>48248</v>
      </c>
      <c r="H144">
        <v>6</v>
      </c>
      <c r="I144" t="s">
        <v>29</v>
      </c>
      <c r="J144" s="1">
        <v>45958</v>
      </c>
      <c r="K144">
        <v>4</v>
      </c>
      <c r="L144">
        <v>88</v>
      </c>
      <c r="M144">
        <v>13</v>
      </c>
      <c r="N144" t="s">
        <v>19</v>
      </c>
      <c r="O144">
        <f t="shared" si="6"/>
        <v>578976</v>
      </c>
      <c r="P144" t="str">
        <f t="shared" si="7"/>
        <v>Mid-Level</v>
      </c>
      <c r="Q144" t="str">
        <f t="shared" si="8"/>
        <v>Excellent</v>
      </c>
    </row>
    <row r="145" spans="1:17" x14ac:dyDescent="0.25">
      <c r="A145">
        <v>1144</v>
      </c>
      <c r="B145" t="s">
        <v>139</v>
      </c>
      <c r="C145" t="s">
        <v>15</v>
      </c>
      <c r="D145">
        <v>26</v>
      </c>
      <c r="E145" t="s">
        <v>36</v>
      </c>
      <c r="F145" t="s">
        <v>57</v>
      </c>
      <c r="G145">
        <v>37992</v>
      </c>
      <c r="H145">
        <v>1</v>
      </c>
      <c r="I145" t="s">
        <v>18</v>
      </c>
      <c r="J145" s="1">
        <v>44878</v>
      </c>
      <c r="K145">
        <v>5</v>
      </c>
      <c r="L145">
        <v>96</v>
      </c>
      <c r="M145">
        <v>15</v>
      </c>
      <c r="N145" t="s">
        <v>19</v>
      </c>
      <c r="O145">
        <f t="shared" si="6"/>
        <v>455904</v>
      </c>
      <c r="P145" t="str">
        <f t="shared" si="7"/>
        <v>Junior</v>
      </c>
      <c r="Q145" t="str">
        <f t="shared" si="8"/>
        <v>Excellent</v>
      </c>
    </row>
    <row r="146" spans="1:17" x14ac:dyDescent="0.25">
      <c r="A146">
        <v>1145</v>
      </c>
      <c r="B146" t="s">
        <v>94</v>
      </c>
      <c r="C146" t="s">
        <v>15</v>
      </c>
      <c r="D146">
        <v>34</v>
      </c>
      <c r="E146" t="s">
        <v>27</v>
      </c>
      <c r="F146" t="s">
        <v>28</v>
      </c>
      <c r="G146">
        <v>57384</v>
      </c>
      <c r="H146">
        <v>2</v>
      </c>
      <c r="I146" t="s">
        <v>29</v>
      </c>
      <c r="J146" s="1">
        <v>43740</v>
      </c>
      <c r="K146">
        <v>2</v>
      </c>
      <c r="L146">
        <v>76</v>
      </c>
      <c r="M146">
        <v>2</v>
      </c>
      <c r="N146" t="s">
        <v>40</v>
      </c>
      <c r="O146">
        <f t="shared" si="6"/>
        <v>688608</v>
      </c>
      <c r="P146" t="str">
        <f t="shared" si="7"/>
        <v>Junior</v>
      </c>
      <c r="Q146" t="str">
        <f t="shared" si="8"/>
        <v>Needs Improvement</v>
      </c>
    </row>
    <row r="147" spans="1:17" x14ac:dyDescent="0.25">
      <c r="A147">
        <v>1146</v>
      </c>
      <c r="B147" t="s">
        <v>140</v>
      </c>
      <c r="C147" t="s">
        <v>15</v>
      </c>
      <c r="D147">
        <v>43</v>
      </c>
      <c r="E147" t="s">
        <v>31</v>
      </c>
      <c r="F147" t="s">
        <v>43</v>
      </c>
      <c r="G147">
        <v>55951</v>
      </c>
      <c r="H147">
        <v>7</v>
      </c>
      <c r="I147" t="s">
        <v>55</v>
      </c>
      <c r="J147" s="1">
        <v>43414</v>
      </c>
      <c r="K147">
        <v>1</v>
      </c>
      <c r="L147">
        <v>75</v>
      </c>
      <c r="M147">
        <v>8</v>
      </c>
      <c r="N147" t="s">
        <v>40</v>
      </c>
      <c r="O147">
        <f t="shared" si="6"/>
        <v>671412</v>
      </c>
      <c r="P147" t="str">
        <f t="shared" si="7"/>
        <v>Senior</v>
      </c>
      <c r="Q147" t="str">
        <f t="shared" si="8"/>
        <v>Needs Improvement</v>
      </c>
    </row>
    <row r="148" spans="1:17" x14ac:dyDescent="0.25">
      <c r="A148">
        <v>1147</v>
      </c>
      <c r="B148" t="s">
        <v>106</v>
      </c>
      <c r="C148" t="s">
        <v>15</v>
      </c>
      <c r="D148">
        <v>33</v>
      </c>
      <c r="E148" t="s">
        <v>21</v>
      </c>
      <c r="F148" t="s">
        <v>46</v>
      </c>
      <c r="G148">
        <v>30967</v>
      </c>
      <c r="H148">
        <v>5</v>
      </c>
      <c r="I148" t="s">
        <v>23</v>
      </c>
      <c r="J148" s="1">
        <v>45582</v>
      </c>
      <c r="K148">
        <v>2</v>
      </c>
      <c r="L148">
        <v>80</v>
      </c>
      <c r="M148">
        <v>0</v>
      </c>
      <c r="N148" t="s">
        <v>40</v>
      </c>
      <c r="O148">
        <f t="shared" si="6"/>
        <v>371604</v>
      </c>
      <c r="P148" t="str">
        <f t="shared" si="7"/>
        <v>Mid-Level</v>
      </c>
      <c r="Q148" t="str">
        <f t="shared" si="8"/>
        <v>Needs Improvement</v>
      </c>
    </row>
    <row r="149" spans="1:17" x14ac:dyDescent="0.25">
      <c r="A149">
        <v>1148</v>
      </c>
      <c r="B149" t="s">
        <v>141</v>
      </c>
      <c r="C149" t="s">
        <v>25</v>
      </c>
      <c r="D149">
        <v>29</v>
      </c>
      <c r="E149" t="s">
        <v>16</v>
      </c>
      <c r="F149" t="s">
        <v>17</v>
      </c>
      <c r="G149">
        <v>32012</v>
      </c>
      <c r="H149">
        <v>15</v>
      </c>
      <c r="I149" t="s">
        <v>55</v>
      </c>
      <c r="J149" s="1">
        <v>44681</v>
      </c>
      <c r="K149">
        <v>3</v>
      </c>
      <c r="L149">
        <v>89</v>
      </c>
      <c r="M149">
        <v>14</v>
      </c>
      <c r="N149" t="s">
        <v>40</v>
      </c>
      <c r="O149">
        <f t="shared" si="6"/>
        <v>384144</v>
      </c>
      <c r="P149" t="str">
        <f t="shared" si="7"/>
        <v>Senior</v>
      </c>
      <c r="Q149" t="str">
        <f t="shared" si="8"/>
        <v>Needs Improvement</v>
      </c>
    </row>
    <row r="150" spans="1:17" x14ac:dyDescent="0.25">
      <c r="A150">
        <v>1149</v>
      </c>
      <c r="B150" t="s">
        <v>81</v>
      </c>
      <c r="C150" t="s">
        <v>25</v>
      </c>
      <c r="D150">
        <v>26</v>
      </c>
      <c r="E150" t="s">
        <v>27</v>
      </c>
      <c r="F150" t="s">
        <v>28</v>
      </c>
      <c r="G150">
        <v>43236</v>
      </c>
      <c r="H150">
        <v>10</v>
      </c>
      <c r="I150" t="s">
        <v>55</v>
      </c>
      <c r="J150" s="1">
        <v>44329</v>
      </c>
      <c r="K150">
        <v>2</v>
      </c>
      <c r="L150">
        <v>79</v>
      </c>
      <c r="M150">
        <v>27</v>
      </c>
      <c r="N150" t="s">
        <v>19</v>
      </c>
      <c r="O150">
        <f t="shared" si="6"/>
        <v>518832</v>
      </c>
      <c r="P150" t="str">
        <f t="shared" si="7"/>
        <v>Senior</v>
      </c>
      <c r="Q150" t="str">
        <f t="shared" si="8"/>
        <v>Needs Improvement</v>
      </c>
    </row>
    <row r="151" spans="1:17" x14ac:dyDescent="0.25">
      <c r="A151">
        <v>1150</v>
      </c>
      <c r="B151" t="s">
        <v>67</v>
      </c>
      <c r="C151" t="s">
        <v>15</v>
      </c>
      <c r="D151">
        <v>38</v>
      </c>
      <c r="E151" t="s">
        <v>21</v>
      </c>
      <c r="F151" t="s">
        <v>22</v>
      </c>
      <c r="G151">
        <v>45835</v>
      </c>
      <c r="H151">
        <v>10</v>
      </c>
      <c r="I151" t="s">
        <v>18</v>
      </c>
      <c r="J151" s="1">
        <v>44287</v>
      </c>
      <c r="K151">
        <v>2</v>
      </c>
      <c r="L151">
        <v>75</v>
      </c>
      <c r="M151">
        <v>21</v>
      </c>
      <c r="N151" t="s">
        <v>19</v>
      </c>
      <c r="O151">
        <f t="shared" si="6"/>
        <v>550020</v>
      </c>
      <c r="P151" t="str">
        <f t="shared" si="7"/>
        <v>Senior</v>
      </c>
      <c r="Q151" t="str">
        <f t="shared" si="8"/>
        <v>Needs Improvement</v>
      </c>
    </row>
    <row r="152" spans="1:17" x14ac:dyDescent="0.25">
      <c r="A152">
        <v>1151</v>
      </c>
      <c r="B152" t="s">
        <v>142</v>
      </c>
      <c r="C152" t="s">
        <v>15</v>
      </c>
      <c r="D152">
        <v>33</v>
      </c>
      <c r="E152" t="s">
        <v>36</v>
      </c>
      <c r="F152" t="s">
        <v>37</v>
      </c>
      <c r="G152">
        <v>35098</v>
      </c>
      <c r="H152">
        <v>9</v>
      </c>
      <c r="I152" t="s">
        <v>49</v>
      </c>
      <c r="J152" s="1">
        <v>44324</v>
      </c>
      <c r="K152">
        <v>3</v>
      </c>
      <c r="L152">
        <v>78</v>
      </c>
      <c r="M152">
        <v>26</v>
      </c>
      <c r="N152" t="s">
        <v>19</v>
      </c>
      <c r="O152">
        <f t="shared" si="6"/>
        <v>421176</v>
      </c>
      <c r="P152" t="str">
        <f t="shared" si="7"/>
        <v>Senior</v>
      </c>
      <c r="Q152" t="str">
        <f t="shared" si="8"/>
        <v>Needs Improvement</v>
      </c>
    </row>
    <row r="153" spans="1:17" x14ac:dyDescent="0.25">
      <c r="A153">
        <v>1152</v>
      </c>
      <c r="B153" t="s">
        <v>53</v>
      </c>
      <c r="C153" t="s">
        <v>15</v>
      </c>
      <c r="D153">
        <v>38</v>
      </c>
      <c r="E153" t="s">
        <v>31</v>
      </c>
      <c r="F153" t="s">
        <v>43</v>
      </c>
      <c r="G153">
        <v>44731</v>
      </c>
      <c r="H153">
        <v>12</v>
      </c>
      <c r="I153" t="s">
        <v>29</v>
      </c>
      <c r="J153" s="1">
        <v>43949</v>
      </c>
      <c r="K153">
        <v>2</v>
      </c>
      <c r="L153">
        <v>99</v>
      </c>
      <c r="M153">
        <v>25</v>
      </c>
      <c r="N153" t="s">
        <v>19</v>
      </c>
      <c r="O153">
        <f t="shared" si="6"/>
        <v>536772</v>
      </c>
      <c r="P153" t="str">
        <f t="shared" si="7"/>
        <v>Senior</v>
      </c>
      <c r="Q153" t="str">
        <f t="shared" si="8"/>
        <v>Needs Improvement</v>
      </c>
    </row>
    <row r="154" spans="1:17" x14ac:dyDescent="0.25">
      <c r="A154">
        <v>1153</v>
      </c>
      <c r="B154" t="s">
        <v>143</v>
      </c>
      <c r="C154" t="s">
        <v>15</v>
      </c>
      <c r="D154">
        <v>25</v>
      </c>
      <c r="E154" t="s">
        <v>21</v>
      </c>
      <c r="F154" t="s">
        <v>22</v>
      </c>
      <c r="G154">
        <v>37935</v>
      </c>
      <c r="H154">
        <v>1</v>
      </c>
      <c r="I154" t="s">
        <v>49</v>
      </c>
      <c r="J154" s="1">
        <v>44864</v>
      </c>
      <c r="K154">
        <v>4</v>
      </c>
      <c r="L154">
        <v>79</v>
      </c>
      <c r="M154">
        <v>27</v>
      </c>
      <c r="N154" t="s">
        <v>19</v>
      </c>
      <c r="O154">
        <f t="shared" si="6"/>
        <v>455220</v>
      </c>
      <c r="P154" t="str">
        <f t="shared" si="7"/>
        <v>Junior</v>
      </c>
      <c r="Q154" t="str">
        <f t="shared" si="8"/>
        <v>Excellent</v>
      </c>
    </row>
    <row r="155" spans="1:17" x14ac:dyDescent="0.25">
      <c r="A155">
        <v>1154</v>
      </c>
      <c r="B155" t="s">
        <v>70</v>
      </c>
      <c r="C155" t="s">
        <v>25</v>
      </c>
      <c r="D155">
        <v>36</v>
      </c>
      <c r="E155" t="s">
        <v>16</v>
      </c>
      <c r="F155" t="s">
        <v>34</v>
      </c>
      <c r="G155">
        <v>69675</v>
      </c>
      <c r="H155">
        <v>6</v>
      </c>
      <c r="I155" t="s">
        <v>55</v>
      </c>
      <c r="J155" s="1">
        <v>44726</v>
      </c>
      <c r="K155">
        <v>3</v>
      </c>
      <c r="L155">
        <v>89</v>
      </c>
      <c r="M155">
        <v>10</v>
      </c>
      <c r="N155" t="s">
        <v>19</v>
      </c>
      <c r="O155">
        <f t="shared" si="6"/>
        <v>836100</v>
      </c>
      <c r="P155" t="str">
        <f t="shared" si="7"/>
        <v>Mid-Level</v>
      </c>
      <c r="Q155" t="str">
        <f t="shared" si="8"/>
        <v>Needs Improvement</v>
      </c>
    </row>
    <row r="156" spans="1:17" x14ac:dyDescent="0.25">
      <c r="A156">
        <v>1155</v>
      </c>
      <c r="B156" t="s">
        <v>38</v>
      </c>
      <c r="C156" t="s">
        <v>15</v>
      </c>
      <c r="D156">
        <v>34</v>
      </c>
      <c r="E156" t="s">
        <v>27</v>
      </c>
      <c r="F156" t="s">
        <v>51</v>
      </c>
      <c r="G156">
        <v>87727</v>
      </c>
      <c r="H156">
        <v>14</v>
      </c>
      <c r="I156" t="s">
        <v>55</v>
      </c>
      <c r="J156" s="1">
        <v>45240</v>
      </c>
      <c r="K156">
        <v>3</v>
      </c>
      <c r="L156">
        <v>95</v>
      </c>
      <c r="M156">
        <v>26</v>
      </c>
      <c r="N156" t="s">
        <v>19</v>
      </c>
      <c r="O156">
        <f t="shared" si="6"/>
        <v>1052724</v>
      </c>
      <c r="P156" t="str">
        <f t="shared" si="7"/>
        <v>Senior</v>
      </c>
      <c r="Q156" t="str">
        <f t="shared" si="8"/>
        <v>Needs Improvement</v>
      </c>
    </row>
    <row r="157" spans="1:17" x14ac:dyDescent="0.25">
      <c r="A157">
        <v>1156</v>
      </c>
      <c r="B157" t="s">
        <v>144</v>
      </c>
      <c r="C157" t="s">
        <v>15</v>
      </c>
      <c r="D157">
        <v>40</v>
      </c>
      <c r="E157" t="s">
        <v>36</v>
      </c>
      <c r="F157" t="s">
        <v>37</v>
      </c>
      <c r="G157">
        <v>37420</v>
      </c>
      <c r="H157">
        <v>2</v>
      </c>
      <c r="I157" t="s">
        <v>29</v>
      </c>
      <c r="J157" s="1">
        <v>45019</v>
      </c>
      <c r="K157">
        <v>3</v>
      </c>
      <c r="L157">
        <v>80</v>
      </c>
      <c r="M157">
        <v>30</v>
      </c>
      <c r="N157" t="s">
        <v>19</v>
      </c>
      <c r="O157">
        <f t="shared" si="6"/>
        <v>449040</v>
      </c>
      <c r="P157" t="str">
        <f t="shared" si="7"/>
        <v>Junior</v>
      </c>
      <c r="Q157" t="str">
        <f t="shared" si="8"/>
        <v>Needs Improvement</v>
      </c>
    </row>
    <row r="158" spans="1:17" x14ac:dyDescent="0.25">
      <c r="A158">
        <v>1157</v>
      </c>
      <c r="B158" t="s">
        <v>88</v>
      </c>
      <c r="C158" t="s">
        <v>25</v>
      </c>
      <c r="D158">
        <v>37</v>
      </c>
      <c r="E158" t="s">
        <v>21</v>
      </c>
      <c r="F158" t="s">
        <v>46</v>
      </c>
      <c r="G158">
        <v>47828</v>
      </c>
      <c r="H158">
        <v>11</v>
      </c>
      <c r="I158" t="s">
        <v>55</v>
      </c>
      <c r="J158" s="1">
        <v>44731</v>
      </c>
      <c r="K158">
        <v>4</v>
      </c>
      <c r="L158">
        <v>91</v>
      </c>
      <c r="M158">
        <v>4</v>
      </c>
      <c r="N158" t="s">
        <v>19</v>
      </c>
      <c r="O158">
        <f t="shared" si="6"/>
        <v>573936</v>
      </c>
      <c r="P158" t="str">
        <f t="shared" si="7"/>
        <v>Senior</v>
      </c>
      <c r="Q158" t="str">
        <f t="shared" si="8"/>
        <v>Excellent</v>
      </c>
    </row>
    <row r="159" spans="1:17" x14ac:dyDescent="0.25">
      <c r="A159">
        <v>1158</v>
      </c>
      <c r="B159" t="s">
        <v>106</v>
      </c>
      <c r="C159" t="s">
        <v>15</v>
      </c>
      <c r="D159">
        <v>30</v>
      </c>
      <c r="E159" t="s">
        <v>36</v>
      </c>
      <c r="F159" t="s">
        <v>37</v>
      </c>
      <c r="G159">
        <v>44584</v>
      </c>
      <c r="H159">
        <v>5</v>
      </c>
      <c r="I159" t="s">
        <v>23</v>
      </c>
      <c r="J159" s="1">
        <v>45028</v>
      </c>
      <c r="K159">
        <v>1</v>
      </c>
      <c r="L159">
        <v>75</v>
      </c>
      <c r="M159">
        <v>30</v>
      </c>
      <c r="N159" t="s">
        <v>19</v>
      </c>
      <c r="O159">
        <f t="shared" si="6"/>
        <v>535008</v>
      </c>
      <c r="P159" t="str">
        <f t="shared" si="7"/>
        <v>Mid-Level</v>
      </c>
      <c r="Q159" t="str">
        <f t="shared" si="8"/>
        <v>Needs Improvement</v>
      </c>
    </row>
    <row r="160" spans="1:17" x14ac:dyDescent="0.25">
      <c r="A160">
        <v>1159</v>
      </c>
      <c r="B160" t="s">
        <v>145</v>
      </c>
      <c r="C160" t="s">
        <v>25</v>
      </c>
      <c r="D160">
        <v>25</v>
      </c>
      <c r="E160" t="s">
        <v>31</v>
      </c>
      <c r="F160" t="s">
        <v>43</v>
      </c>
      <c r="G160">
        <v>66354</v>
      </c>
      <c r="H160">
        <v>2</v>
      </c>
      <c r="I160" t="s">
        <v>23</v>
      </c>
      <c r="J160" s="1">
        <v>44119</v>
      </c>
      <c r="K160">
        <v>4</v>
      </c>
      <c r="L160">
        <v>86</v>
      </c>
      <c r="M160">
        <v>12</v>
      </c>
      <c r="N160" t="s">
        <v>19</v>
      </c>
      <c r="O160">
        <f t="shared" si="6"/>
        <v>796248</v>
      </c>
      <c r="P160" t="str">
        <f t="shared" si="7"/>
        <v>Junior</v>
      </c>
      <c r="Q160" t="str">
        <f t="shared" si="8"/>
        <v>Excellent</v>
      </c>
    </row>
    <row r="161" spans="1:17" x14ac:dyDescent="0.25">
      <c r="A161">
        <v>1160</v>
      </c>
      <c r="B161" t="s">
        <v>146</v>
      </c>
      <c r="C161" t="s">
        <v>15</v>
      </c>
      <c r="D161">
        <v>45</v>
      </c>
      <c r="E161" t="s">
        <v>21</v>
      </c>
      <c r="F161" t="s">
        <v>22</v>
      </c>
      <c r="G161">
        <v>75530</v>
      </c>
      <c r="H161">
        <v>3</v>
      </c>
      <c r="I161" t="s">
        <v>49</v>
      </c>
      <c r="J161" s="1">
        <v>45995</v>
      </c>
      <c r="K161">
        <v>2</v>
      </c>
      <c r="L161">
        <v>83</v>
      </c>
      <c r="M161">
        <v>24</v>
      </c>
      <c r="N161" t="s">
        <v>40</v>
      </c>
      <c r="O161">
        <f t="shared" si="6"/>
        <v>906360</v>
      </c>
      <c r="P161" t="str">
        <f t="shared" si="7"/>
        <v>Mid-Level</v>
      </c>
      <c r="Q161" t="str">
        <f t="shared" si="8"/>
        <v>Needs Improvement</v>
      </c>
    </row>
    <row r="162" spans="1:17" x14ac:dyDescent="0.25">
      <c r="A162">
        <v>1161</v>
      </c>
      <c r="B162" t="s">
        <v>54</v>
      </c>
      <c r="C162" t="s">
        <v>15</v>
      </c>
      <c r="D162">
        <v>37</v>
      </c>
      <c r="E162" t="s">
        <v>36</v>
      </c>
      <c r="F162" t="s">
        <v>57</v>
      </c>
      <c r="G162">
        <v>42800</v>
      </c>
      <c r="H162">
        <v>13</v>
      </c>
      <c r="I162" t="s">
        <v>18</v>
      </c>
      <c r="J162" s="1">
        <v>44877</v>
      </c>
      <c r="K162">
        <v>4</v>
      </c>
      <c r="L162">
        <v>79</v>
      </c>
      <c r="M162">
        <v>24</v>
      </c>
      <c r="N162" t="s">
        <v>19</v>
      </c>
      <c r="O162">
        <f t="shared" si="6"/>
        <v>513600</v>
      </c>
      <c r="P162" t="str">
        <f t="shared" si="7"/>
        <v>Senior</v>
      </c>
      <c r="Q162" t="str">
        <f t="shared" si="8"/>
        <v>Excellent</v>
      </c>
    </row>
    <row r="163" spans="1:17" x14ac:dyDescent="0.25">
      <c r="A163">
        <v>1162</v>
      </c>
      <c r="B163" t="s">
        <v>119</v>
      </c>
      <c r="C163" t="s">
        <v>25</v>
      </c>
      <c r="D163">
        <v>39</v>
      </c>
      <c r="E163" t="s">
        <v>31</v>
      </c>
      <c r="F163" t="s">
        <v>43</v>
      </c>
      <c r="G163">
        <v>72189</v>
      </c>
      <c r="H163">
        <v>4</v>
      </c>
      <c r="I163" t="s">
        <v>18</v>
      </c>
      <c r="J163" s="1">
        <v>43593</v>
      </c>
      <c r="K163">
        <v>3</v>
      </c>
      <c r="L163">
        <v>88</v>
      </c>
      <c r="M163">
        <v>18</v>
      </c>
      <c r="N163" t="s">
        <v>19</v>
      </c>
      <c r="O163">
        <f t="shared" si="6"/>
        <v>866268</v>
      </c>
      <c r="P163" t="str">
        <f t="shared" si="7"/>
        <v>Mid-Level</v>
      </c>
      <c r="Q163" t="str">
        <f t="shared" si="8"/>
        <v>Needs Improvement</v>
      </c>
    </row>
    <row r="164" spans="1:17" x14ac:dyDescent="0.25">
      <c r="A164">
        <v>1163</v>
      </c>
      <c r="B164" t="s">
        <v>147</v>
      </c>
      <c r="C164" t="s">
        <v>25</v>
      </c>
      <c r="D164">
        <v>43</v>
      </c>
      <c r="E164" t="s">
        <v>31</v>
      </c>
      <c r="F164" t="s">
        <v>32</v>
      </c>
      <c r="G164">
        <v>66213</v>
      </c>
      <c r="H164">
        <v>6</v>
      </c>
      <c r="I164" t="s">
        <v>29</v>
      </c>
      <c r="J164" s="1">
        <v>43472</v>
      </c>
      <c r="K164">
        <v>1</v>
      </c>
      <c r="L164">
        <v>78</v>
      </c>
      <c r="M164">
        <v>5</v>
      </c>
      <c r="N164" t="s">
        <v>19</v>
      </c>
      <c r="O164">
        <f t="shared" si="6"/>
        <v>794556</v>
      </c>
      <c r="P164" t="str">
        <f t="shared" si="7"/>
        <v>Mid-Level</v>
      </c>
      <c r="Q164" t="str">
        <f t="shared" si="8"/>
        <v>Needs Improvement</v>
      </c>
    </row>
    <row r="165" spans="1:17" x14ac:dyDescent="0.25">
      <c r="A165">
        <v>1164</v>
      </c>
      <c r="B165" t="s">
        <v>131</v>
      </c>
      <c r="C165" t="s">
        <v>15</v>
      </c>
      <c r="D165">
        <v>32</v>
      </c>
      <c r="E165" t="s">
        <v>16</v>
      </c>
      <c r="F165" t="s">
        <v>59</v>
      </c>
      <c r="G165">
        <v>48187</v>
      </c>
      <c r="H165">
        <v>12</v>
      </c>
      <c r="I165" t="s">
        <v>55</v>
      </c>
      <c r="J165" s="1">
        <v>44317</v>
      </c>
      <c r="K165">
        <v>5</v>
      </c>
      <c r="L165">
        <v>92</v>
      </c>
      <c r="M165">
        <v>13</v>
      </c>
      <c r="N165" t="s">
        <v>19</v>
      </c>
      <c r="O165">
        <f t="shared" si="6"/>
        <v>578244</v>
      </c>
      <c r="P165" t="str">
        <f t="shared" si="7"/>
        <v>Senior</v>
      </c>
      <c r="Q165" t="str">
        <f t="shared" si="8"/>
        <v>Excellent</v>
      </c>
    </row>
    <row r="166" spans="1:17" x14ac:dyDescent="0.25">
      <c r="A166">
        <v>1165</v>
      </c>
      <c r="B166" t="s">
        <v>35</v>
      </c>
      <c r="C166" t="s">
        <v>25</v>
      </c>
      <c r="D166">
        <v>34</v>
      </c>
      <c r="E166" t="s">
        <v>21</v>
      </c>
      <c r="F166" t="s">
        <v>46</v>
      </c>
      <c r="G166">
        <v>69734</v>
      </c>
      <c r="H166">
        <v>12</v>
      </c>
      <c r="I166" t="s">
        <v>49</v>
      </c>
      <c r="J166" s="1">
        <v>45378</v>
      </c>
      <c r="K166">
        <v>1</v>
      </c>
      <c r="L166">
        <v>93</v>
      </c>
      <c r="M166">
        <v>26</v>
      </c>
      <c r="N166" t="s">
        <v>19</v>
      </c>
      <c r="O166">
        <f t="shared" si="6"/>
        <v>836808</v>
      </c>
      <c r="P166" t="str">
        <f t="shared" si="7"/>
        <v>Senior</v>
      </c>
      <c r="Q166" t="str">
        <f t="shared" si="8"/>
        <v>Needs Improvement</v>
      </c>
    </row>
    <row r="167" spans="1:17" x14ac:dyDescent="0.25">
      <c r="A167">
        <v>1166</v>
      </c>
      <c r="B167" t="s">
        <v>66</v>
      </c>
      <c r="C167" t="s">
        <v>25</v>
      </c>
      <c r="D167">
        <v>24</v>
      </c>
      <c r="E167" t="s">
        <v>27</v>
      </c>
      <c r="F167" t="s">
        <v>28</v>
      </c>
      <c r="G167">
        <v>45954</v>
      </c>
      <c r="H167">
        <v>12</v>
      </c>
      <c r="I167" t="s">
        <v>18</v>
      </c>
      <c r="J167" s="1">
        <v>44514</v>
      </c>
      <c r="K167">
        <v>5</v>
      </c>
      <c r="L167">
        <v>96</v>
      </c>
      <c r="M167">
        <v>17</v>
      </c>
      <c r="N167" t="s">
        <v>40</v>
      </c>
      <c r="O167">
        <f t="shared" si="6"/>
        <v>551448</v>
      </c>
      <c r="P167" t="str">
        <f t="shared" si="7"/>
        <v>Senior</v>
      </c>
      <c r="Q167" t="str">
        <f t="shared" si="8"/>
        <v>Excellent</v>
      </c>
    </row>
    <row r="168" spans="1:17" x14ac:dyDescent="0.25">
      <c r="A168">
        <v>1167</v>
      </c>
      <c r="B168" t="s">
        <v>148</v>
      </c>
      <c r="C168" t="s">
        <v>25</v>
      </c>
      <c r="D168">
        <v>42</v>
      </c>
      <c r="E168" t="s">
        <v>16</v>
      </c>
      <c r="F168" t="s">
        <v>17</v>
      </c>
      <c r="G168">
        <v>86614</v>
      </c>
      <c r="H168">
        <v>10</v>
      </c>
      <c r="I168" t="s">
        <v>23</v>
      </c>
      <c r="J168" s="1">
        <v>45495</v>
      </c>
      <c r="K168">
        <v>4</v>
      </c>
      <c r="L168">
        <v>86</v>
      </c>
      <c r="M168">
        <v>9</v>
      </c>
      <c r="N168" t="s">
        <v>19</v>
      </c>
      <c r="O168">
        <f t="shared" si="6"/>
        <v>1039368</v>
      </c>
      <c r="P168" t="str">
        <f t="shared" si="7"/>
        <v>Senior</v>
      </c>
      <c r="Q168" t="str">
        <f t="shared" si="8"/>
        <v>Excellent</v>
      </c>
    </row>
    <row r="169" spans="1:17" x14ac:dyDescent="0.25">
      <c r="A169">
        <v>1168</v>
      </c>
      <c r="B169" t="s">
        <v>141</v>
      </c>
      <c r="C169" t="s">
        <v>15</v>
      </c>
      <c r="D169">
        <v>27</v>
      </c>
      <c r="E169" t="s">
        <v>27</v>
      </c>
      <c r="F169" t="s">
        <v>28</v>
      </c>
      <c r="G169">
        <v>54590</v>
      </c>
      <c r="H169">
        <v>11</v>
      </c>
      <c r="I169" t="s">
        <v>23</v>
      </c>
      <c r="J169" s="1">
        <v>45747</v>
      </c>
      <c r="K169">
        <v>2</v>
      </c>
      <c r="L169">
        <v>100</v>
      </c>
      <c r="M169">
        <v>1</v>
      </c>
      <c r="N169" t="s">
        <v>19</v>
      </c>
      <c r="O169">
        <f t="shared" si="6"/>
        <v>655080</v>
      </c>
      <c r="P169" t="str">
        <f t="shared" si="7"/>
        <v>Senior</v>
      </c>
      <c r="Q169" t="str">
        <f t="shared" si="8"/>
        <v>Needs Improvement</v>
      </c>
    </row>
    <row r="170" spans="1:17" x14ac:dyDescent="0.25">
      <c r="A170">
        <v>1169</v>
      </c>
      <c r="B170" t="s">
        <v>116</v>
      </c>
      <c r="C170" t="s">
        <v>25</v>
      </c>
      <c r="D170">
        <v>31</v>
      </c>
      <c r="E170" t="s">
        <v>36</v>
      </c>
      <c r="F170" t="s">
        <v>57</v>
      </c>
      <c r="G170">
        <v>52224</v>
      </c>
      <c r="H170">
        <v>1</v>
      </c>
      <c r="I170" t="s">
        <v>23</v>
      </c>
      <c r="J170" s="1">
        <v>43281</v>
      </c>
      <c r="K170">
        <v>3</v>
      </c>
      <c r="L170">
        <v>86</v>
      </c>
      <c r="M170">
        <v>0</v>
      </c>
      <c r="N170" t="s">
        <v>19</v>
      </c>
      <c r="O170">
        <f t="shared" si="6"/>
        <v>626688</v>
      </c>
      <c r="P170" t="str">
        <f t="shared" si="7"/>
        <v>Junior</v>
      </c>
      <c r="Q170" t="str">
        <f t="shared" si="8"/>
        <v>Needs Improvement</v>
      </c>
    </row>
    <row r="171" spans="1:17" x14ac:dyDescent="0.25">
      <c r="A171">
        <v>1170</v>
      </c>
      <c r="B171" t="s">
        <v>135</v>
      </c>
      <c r="C171" t="s">
        <v>25</v>
      </c>
      <c r="D171">
        <v>39</v>
      </c>
      <c r="E171" t="s">
        <v>31</v>
      </c>
      <c r="F171" t="s">
        <v>32</v>
      </c>
      <c r="G171">
        <v>74725</v>
      </c>
      <c r="H171">
        <v>6</v>
      </c>
      <c r="I171" t="s">
        <v>18</v>
      </c>
      <c r="J171" s="1">
        <v>45681</v>
      </c>
      <c r="K171">
        <v>1</v>
      </c>
      <c r="L171">
        <v>100</v>
      </c>
      <c r="M171">
        <v>2</v>
      </c>
      <c r="N171" t="s">
        <v>19</v>
      </c>
      <c r="O171">
        <f t="shared" si="6"/>
        <v>896700</v>
      </c>
      <c r="P171" t="str">
        <f t="shared" si="7"/>
        <v>Mid-Level</v>
      </c>
      <c r="Q171" t="str">
        <f t="shared" si="8"/>
        <v>Needs Improvement</v>
      </c>
    </row>
    <row r="172" spans="1:17" x14ac:dyDescent="0.25">
      <c r="A172">
        <v>1171</v>
      </c>
      <c r="B172" t="s">
        <v>14</v>
      </c>
      <c r="C172" t="s">
        <v>15</v>
      </c>
      <c r="D172">
        <v>38</v>
      </c>
      <c r="E172" t="s">
        <v>31</v>
      </c>
      <c r="F172" t="s">
        <v>43</v>
      </c>
      <c r="G172">
        <v>48316</v>
      </c>
      <c r="H172">
        <v>13</v>
      </c>
      <c r="I172" t="s">
        <v>55</v>
      </c>
      <c r="J172" s="1">
        <v>45036</v>
      </c>
      <c r="K172">
        <v>4</v>
      </c>
      <c r="L172">
        <v>81</v>
      </c>
      <c r="M172">
        <v>24</v>
      </c>
      <c r="N172" t="s">
        <v>19</v>
      </c>
      <c r="O172">
        <f t="shared" si="6"/>
        <v>579792</v>
      </c>
      <c r="P172" t="str">
        <f t="shared" si="7"/>
        <v>Senior</v>
      </c>
      <c r="Q172" t="str">
        <f t="shared" si="8"/>
        <v>Excellent</v>
      </c>
    </row>
    <row r="173" spans="1:17" x14ac:dyDescent="0.25">
      <c r="A173">
        <v>1172</v>
      </c>
      <c r="B173" t="s">
        <v>14</v>
      </c>
      <c r="C173" t="s">
        <v>15</v>
      </c>
      <c r="D173">
        <v>41</v>
      </c>
      <c r="E173" t="s">
        <v>21</v>
      </c>
      <c r="F173" t="s">
        <v>22</v>
      </c>
      <c r="G173">
        <v>50495</v>
      </c>
      <c r="H173">
        <v>1</v>
      </c>
      <c r="I173" t="s">
        <v>55</v>
      </c>
      <c r="J173" s="1">
        <v>43278</v>
      </c>
      <c r="K173">
        <v>3</v>
      </c>
      <c r="L173">
        <v>77</v>
      </c>
      <c r="M173">
        <v>5</v>
      </c>
      <c r="N173" t="s">
        <v>19</v>
      </c>
      <c r="O173">
        <f t="shared" si="6"/>
        <v>605940</v>
      </c>
      <c r="P173" t="str">
        <f t="shared" si="7"/>
        <v>Junior</v>
      </c>
      <c r="Q173" t="str">
        <f t="shared" si="8"/>
        <v>Needs Improvement</v>
      </c>
    </row>
    <row r="174" spans="1:17" x14ac:dyDescent="0.25">
      <c r="A174">
        <v>1173</v>
      </c>
      <c r="B174" t="s">
        <v>149</v>
      </c>
      <c r="C174" t="s">
        <v>25</v>
      </c>
      <c r="D174">
        <v>24</v>
      </c>
      <c r="E174" t="s">
        <v>36</v>
      </c>
      <c r="F174" t="s">
        <v>72</v>
      </c>
      <c r="G174">
        <v>80490</v>
      </c>
      <c r="H174">
        <v>9</v>
      </c>
      <c r="I174" t="s">
        <v>49</v>
      </c>
      <c r="J174" s="1">
        <v>43310</v>
      </c>
      <c r="K174">
        <v>5</v>
      </c>
      <c r="L174">
        <v>92</v>
      </c>
      <c r="M174">
        <v>24</v>
      </c>
      <c r="N174" t="s">
        <v>19</v>
      </c>
      <c r="O174">
        <f t="shared" si="6"/>
        <v>965880</v>
      </c>
      <c r="P174" t="str">
        <f t="shared" si="7"/>
        <v>Senior</v>
      </c>
      <c r="Q174" t="str">
        <f t="shared" si="8"/>
        <v>Excellent</v>
      </c>
    </row>
    <row r="175" spans="1:17" x14ac:dyDescent="0.25">
      <c r="A175">
        <v>1174</v>
      </c>
      <c r="B175" t="s">
        <v>150</v>
      </c>
      <c r="C175" t="s">
        <v>15</v>
      </c>
      <c r="D175">
        <v>25</v>
      </c>
      <c r="E175" t="s">
        <v>21</v>
      </c>
      <c r="F175" t="s">
        <v>22</v>
      </c>
      <c r="G175">
        <v>51706</v>
      </c>
      <c r="H175">
        <v>14</v>
      </c>
      <c r="I175" t="s">
        <v>49</v>
      </c>
      <c r="J175" s="1">
        <v>44242</v>
      </c>
      <c r="K175">
        <v>1</v>
      </c>
      <c r="L175">
        <v>83</v>
      </c>
      <c r="M175">
        <v>3</v>
      </c>
      <c r="N175" t="s">
        <v>19</v>
      </c>
      <c r="O175">
        <f t="shared" si="6"/>
        <v>620472</v>
      </c>
      <c r="P175" t="str">
        <f t="shared" si="7"/>
        <v>Senior</v>
      </c>
      <c r="Q175" t="str">
        <f t="shared" si="8"/>
        <v>Needs Improvement</v>
      </c>
    </row>
    <row r="176" spans="1:17" x14ac:dyDescent="0.25">
      <c r="A176">
        <v>1175</v>
      </c>
      <c r="B176" t="s">
        <v>112</v>
      </c>
      <c r="C176" t="s">
        <v>15</v>
      </c>
      <c r="D176">
        <v>32</v>
      </c>
      <c r="E176" t="s">
        <v>31</v>
      </c>
      <c r="F176" t="s">
        <v>43</v>
      </c>
      <c r="G176">
        <v>32468</v>
      </c>
      <c r="H176">
        <v>2</v>
      </c>
      <c r="I176" t="s">
        <v>18</v>
      </c>
      <c r="J176" s="1">
        <v>44610</v>
      </c>
      <c r="K176">
        <v>1</v>
      </c>
      <c r="L176">
        <v>90</v>
      </c>
      <c r="M176">
        <v>0</v>
      </c>
      <c r="N176" t="s">
        <v>19</v>
      </c>
      <c r="O176">
        <f t="shared" si="6"/>
        <v>389616</v>
      </c>
      <c r="P176" t="str">
        <f t="shared" si="7"/>
        <v>Junior</v>
      </c>
      <c r="Q176" t="str">
        <f t="shared" si="8"/>
        <v>Needs Improvement</v>
      </c>
    </row>
    <row r="177" spans="1:17" x14ac:dyDescent="0.25">
      <c r="A177">
        <v>1176</v>
      </c>
      <c r="B177" t="s">
        <v>151</v>
      </c>
      <c r="C177" t="s">
        <v>15</v>
      </c>
      <c r="D177">
        <v>45</v>
      </c>
      <c r="E177" t="s">
        <v>27</v>
      </c>
      <c r="F177" t="s">
        <v>51</v>
      </c>
      <c r="G177">
        <v>30491</v>
      </c>
      <c r="H177">
        <v>12</v>
      </c>
      <c r="I177" t="s">
        <v>23</v>
      </c>
      <c r="J177" s="1">
        <v>45166</v>
      </c>
      <c r="K177">
        <v>4</v>
      </c>
      <c r="L177">
        <v>79</v>
      </c>
      <c r="M177">
        <v>15</v>
      </c>
      <c r="N177" t="s">
        <v>40</v>
      </c>
      <c r="O177">
        <f t="shared" si="6"/>
        <v>365892</v>
      </c>
      <c r="P177" t="str">
        <f t="shared" si="7"/>
        <v>Senior</v>
      </c>
      <c r="Q177" t="str">
        <f t="shared" si="8"/>
        <v>Excellent</v>
      </c>
    </row>
    <row r="178" spans="1:17" x14ac:dyDescent="0.25">
      <c r="A178">
        <v>1177</v>
      </c>
      <c r="B178" t="s">
        <v>63</v>
      </c>
      <c r="C178" t="s">
        <v>15</v>
      </c>
      <c r="D178">
        <v>35</v>
      </c>
      <c r="E178" t="s">
        <v>31</v>
      </c>
      <c r="F178" t="s">
        <v>32</v>
      </c>
      <c r="G178">
        <v>39305</v>
      </c>
      <c r="H178">
        <v>11</v>
      </c>
      <c r="I178" t="s">
        <v>29</v>
      </c>
      <c r="J178" s="1">
        <v>44871</v>
      </c>
      <c r="K178">
        <v>4</v>
      </c>
      <c r="L178">
        <v>84</v>
      </c>
      <c r="M178">
        <v>22</v>
      </c>
      <c r="N178" t="s">
        <v>19</v>
      </c>
      <c r="O178">
        <f t="shared" si="6"/>
        <v>471660</v>
      </c>
      <c r="P178" t="str">
        <f t="shared" si="7"/>
        <v>Senior</v>
      </c>
      <c r="Q178" t="str">
        <f t="shared" si="8"/>
        <v>Excellent</v>
      </c>
    </row>
    <row r="179" spans="1:17" x14ac:dyDescent="0.25">
      <c r="A179">
        <v>1178</v>
      </c>
      <c r="B179" t="s">
        <v>108</v>
      </c>
      <c r="C179" t="s">
        <v>25</v>
      </c>
      <c r="D179">
        <v>45</v>
      </c>
      <c r="E179" t="s">
        <v>16</v>
      </c>
      <c r="F179" t="s">
        <v>59</v>
      </c>
      <c r="G179">
        <v>76361</v>
      </c>
      <c r="H179">
        <v>7</v>
      </c>
      <c r="I179" t="s">
        <v>55</v>
      </c>
      <c r="J179" s="1">
        <v>46091</v>
      </c>
      <c r="K179">
        <v>2</v>
      </c>
      <c r="L179">
        <v>96</v>
      </c>
      <c r="M179">
        <v>28</v>
      </c>
      <c r="N179" t="s">
        <v>19</v>
      </c>
      <c r="O179">
        <f t="shared" si="6"/>
        <v>916332</v>
      </c>
      <c r="P179" t="str">
        <f t="shared" si="7"/>
        <v>Senior</v>
      </c>
      <c r="Q179" t="str">
        <f t="shared" si="8"/>
        <v>Needs Improvement</v>
      </c>
    </row>
    <row r="180" spans="1:17" x14ac:dyDescent="0.25">
      <c r="A180">
        <v>1179</v>
      </c>
      <c r="B180" t="s">
        <v>152</v>
      </c>
      <c r="C180" t="s">
        <v>25</v>
      </c>
      <c r="D180">
        <v>39</v>
      </c>
      <c r="E180" t="s">
        <v>31</v>
      </c>
      <c r="F180" t="s">
        <v>32</v>
      </c>
      <c r="G180">
        <v>34212</v>
      </c>
      <c r="H180">
        <v>11</v>
      </c>
      <c r="I180" t="s">
        <v>55</v>
      </c>
      <c r="J180" s="1">
        <v>44181</v>
      </c>
      <c r="K180">
        <v>2</v>
      </c>
      <c r="L180">
        <v>87</v>
      </c>
      <c r="M180">
        <v>11</v>
      </c>
      <c r="N180" t="s">
        <v>19</v>
      </c>
      <c r="O180">
        <f t="shared" si="6"/>
        <v>410544</v>
      </c>
      <c r="P180" t="str">
        <f t="shared" si="7"/>
        <v>Senior</v>
      </c>
      <c r="Q180" t="str">
        <f t="shared" si="8"/>
        <v>Needs Improvement</v>
      </c>
    </row>
    <row r="181" spans="1:17" x14ac:dyDescent="0.25">
      <c r="A181">
        <v>1180</v>
      </c>
      <c r="B181" t="s">
        <v>47</v>
      </c>
      <c r="C181" t="s">
        <v>15</v>
      </c>
      <c r="D181">
        <v>24</v>
      </c>
      <c r="E181" t="s">
        <v>21</v>
      </c>
      <c r="F181" t="s">
        <v>22</v>
      </c>
      <c r="G181">
        <v>76909</v>
      </c>
      <c r="H181">
        <v>10</v>
      </c>
      <c r="I181" t="s">
        <v>55</v>
      </c>
      <c r="J181" s="1">
        <v>43674</v>
      </c>
      <c r="K181">
        <v>3</v>
      </c>
      <c r="L181">
        <v>95</v>
      </c>
      <c r="M181">
        <v>6</v>
      </c>
      <c r="N181" t="s">
        <v>19</v>
      </c>
      <c r="O181">
        <f t="shared" si="6"/>
        <v>922908</v>
      </c>
      <c r="P181" t="str">
        <f t="shared" si="7"/>
        <v>Senior</v>
      </c>
      <c r="Q181" t="str">
        <f t="shared" si="8"/>
        <v>Needs Improvement</v>
      </c>
    </row>
    <row r="182" spans="1:17" x14ac:dyDescent="0.25">
      <c r="A182">
        <v>1181</v>
      </c>
      <c r="B182" t="s">
        <v>26</v>
      </c>
      <c r="C182" t="s">
        <v>25</v>
      </c>
      <c r="D182">
        <v>42</v>
      </c>
      <c r="E182" t="s">
        <v>21</v>
      </c>
      <c r="F182" t="s">
        <v>22</v>
      </c>
      <c r="G182">
        <v>68759</v>
      </c>
      <c r="H182">
        <v>7</v>
      </c>
      <c r="I182" t="s">
        <v>49</v>
      </c>
      <c r="J182" s="1">
        <v>44181</v>
      </c>
      <c r="K182">
        <v>5</v>
      </c>
      <c r="L182">
        <v>88</v>
      </c>
      <c r="M182">
        <v>8</v>
      </c>
      <c r="N182" t="s">
        <v>19</v>
      </c>
      <c r="O182">
        <f t="shared" si="6"/>
        <v>825108</v>
      </c>
      <c r="P182" t="str">
        <f t="shared" si="7"/>
        <v>Senior</v>
      </c>
      <c r="Q182" t="str">
        <f t="shared" si="8"/>
        <v>Excellent</v>
      </c>
    </row>
    <row r="183" spans="1:17" x14ac:dyDescent="0.25">
      <c r="A183">
        <v>1182</v>
      </c>
      <c r="B183" t="s">
        <v>89</v>
      </c>
      <c r="C183" t="s">
        <v>15</v>
      </c>
      <c r="D183">
        <v>29</v>
      </c>
      <c r="E183" t="s">
        <v>31</v>
      </c>
      <c r="F183" t="s">
        <v>43</v>
      </c>
      <c r="G183">
        <v>70631</v>
      </c>
      <c r="H183">
        <v>12</v>
      </c>
      <c r="I183" t="s">
        <v>23</v>
      </c>
      <c r="J183" s="1">
        <v>45177</v>
      </c>
      <c r="K183">
        <v>2</v>
      </c>
      <c r="L183">
        <v>78</v>
      </c>
      <c r="M183">
        <v>0</v>
      </c>
      <c r="N183" t="s">
        <v>19</v>
      </c>
      <c r="O183">
        <f t="shared" si="6"/>
        <v>847572</v>
      </c>
      <c r="P183" t="str">
        <f t="shared" si="7"/>
        <v>Senior</v>
      </c>
      <c r="Q183" t="str">
        <f t="shared" si="8"/>
        <v>Needs Improvement</v>
      </c>
    </row>
    <row r="184" spans="1:17" x14ac:dyDescent="0.25">
      <c r="A184">
        <v>1183</v>
      </c>
      <c r="B184" t="s">
        <v>153</v>
      </c>
      <c r="C184" t="s">
        <v>25</v>
      </c>
      <c r="D184">
        <v>23</v>
      </c>
      <c r="E184" t="s">
        <v>21</v>
      </c>
      <c r="F184" t="s">
        <v>46</v>
      </c>
      <c r="G184">
        <v>57065</v>
      </c>
      <c r="H184">
        <v>6</v>
      </c>
      <c r="I184" t="s">
        <v>18</v>
      </c>
      <c r="J184" s="1">
        <v>45133</v>
      </c>
      <c r="K184">
        <v>2</v>
      </c>
      <c r="L184">
        <v>100</v>
      </c>
      <c r="M184">
        <v>21</v>
      </c>
      <c r="N184" t="s">
        <v>19</v>
      </c>
      <c r="O184">
        <f t="shared" si="6"/>
        <v>684780</v>
      </c>
      <c r="P184" t="str">
        <f t="shared" si="7"/>
        <v>Mid-Level</v>
      </c>
      <c r="Q184" t="str">
        <f t="shared" si="8"/>
        <v>Needs Improvement</v>
      </c>
    </row>
    <row r="185" spans="1:17" x14ac:dyDescent="0.25">
      <c r="A185">
        <v>1184</v>
      </c>
      <c r="B185" t="s">
        <v>154</v>
      </c>
      <c r="C185" t="s">
        <v>25</v>
      </c>
      <c r="D185">
        <v>45</v>
      </c>
      <c r="E185" t="s">
        <v>36</v>
      </c>
      <c r="F185" t="s">
        <v>57</v>
      </c>
      <c r="G185">
        <v>86881</v>
      </c>
      <c r="H185">
        <v>9</v>
      </c>
      <c r="I185" t="s">
        <v>55</v>
      </c>
      <c r="J185" s="1">
        <v>43260</v>
      </c>
      <c r="K185">
        <v>3</v>
      </c>
      <c r="L185">
        <v>76</v>
      </c>
      <c r="M185">
        <v>10</v>
      </c>
      <c r="N185" t="s">
        <v>19</v>
      </c>
      <c r="O185">
        <f t="shared" si="6"/>
        <v>1042572</v>
      </c>
      <c r="P185" t="str">
        <f t="shared" si="7"/>
        <v>Senior</v>
      </c>
      <c r="Q185" t="str">
        <f t="shared" si="8"/>
        <v>Needs Improvement</v>
      </c>
    </row>
    <row r="186" spans="1:17" x14ac:dyDescent="0.25">
      <c r="A186">
        <v>1185</v>
      </c>
      <c r="B186" t="s">
        <v>86</v>
      </c>
      <c r="C186" t="s">
        <v>15</v>
      </c>
      <c r="D186">
        <v>36</v>
      </c>
      <c r="E186" t="s">
        <v>36</v>
      </c>
      <c r="F186" t="s">
        <v>37</v>
      </c>
      <c r="G186">
        <v>56776</v>
      </c>
      <c r="H186">
        <v>1</v>
      </c>
      <c r="I186" t="s">
        <v>23</v>
      </c>
      <c r="J186" s="1">
        <v>45865</v>
      </c>
      <c r="K186">
        <v>3</v>
      </c>
      <c r="L186">
        <v>91</v>
      </c>
      <c r="M186">
        <v>18</v>
      </c>
      <c r="N186" t="s">
        <v>19</v>
      </c>
      <c r="O186">
        <f t="shared" si="6"/>
        <v>681312</v>
      </c>
      <c r="P186" t="str">
        <f t="shared" si="7"/>
        <v>Junior</v>
      </c>
      <c r="Q186" t="str">
        <f t="shared" si="8"/>
        <v>Needs Improvement</v>
      </c>
    </row>
    <row r="187" spans="1:17" x14ac:dyDescent="0.25">
      <c r="A187">
        <v>1186</v>
      </c>
      <c r="B187" t="s">
        <v>48</v>
      </c>
      <c r="C187" t="s">
        <v>15</v>
      </c>
      <c r="D187">
        <v>45</v>
      </c>
      <c r="E187" t="s">
        <v>27</v>
      </c>
      <c r="F187" t="s">
        <v>28</v>
      </c>
      <c r="G187">
        <v>61677</v>
      </c>
      <c r="H187">
        <v>5</v>
      </c>
      <c r="I187" t="s">
        <v>55</v>
      </c>
      <c r="J187" s="1">
        <v>43235</v>
      </c>
      <c r="K187">
        <v>3</v>
      </c>
      <c r="L187">
        <v>85</v>
      </c>
      <c r="M187">
        <v>21</v>
      </c>
      <c r="N187" t="s">
        <v>40</v>
      </c>
      <c r="O187">
        <f t="shared" si="6"/>
        <v>740124</v>
      </c>
      <c r="P187" t="str">
        <f t="shared" si="7"/>
        <v>Mid-Level</v>
      </c>
      <c r="Q187" t="str">
        <f t="shared" si="8"/>
        <v>Needs Improvement</v>
      </c>
    </row>
    <row r="188" spans="1:17" x14ac:dyDescent="0.25">
      <c r="A188">
        <v>1187</v>
      </c>
      <c r="B188" t="s">
        <v>155</v>
      </c>
      <c r="C188" t="s">
        <v>15</v>
      </c>
      <c r="D188">
        <v>40</v>
      </c>
      <c r="E188" t="s">
        <v>16</v>
      </c>
      <c r="F188" t="s">
        <v>59</v>
      </c>
      <c r="G188">
        <v>70717</v>
      </c>
      <c r="H188">
        <v>12</v>
      </c>
      <c r="I188" t="s">
        <v>55</v>
      </c>
      <c r="J188" s="1">
        <v>45811</v>
      </c>
      <c r="K188">
        <v>2</v>
      </c>
      <c r="L188">
        <v>95</v>
      </c>
      <c r="M188">
        <v>17</v>
      </c>
      <c r="N188" t="s">
        <v>19</v>
      </c>
      <c r="O188">
        <f t="shared" si="6"/>
        <v>848604</v>
      </c>
      <c r="P188" t="str">
        <f t="shared" si="7"/>
        <v>Senior</v>
      </c>
      <c r="Q188" t="str">
        <f t="shared" si="8"/>
        <v>Needs Improvement</v>
      </c>
    </row>
    <row r="189" spans="1:17" x14ac:dyDescent="0.25">
      <c r="A189">
        <v>1188</v>
      </c>
      <c r="B189" t="s">
        <v>156</v>
      </c>
      <c r="C189" t="s">
        <v>15</v>
      </c>
      <c r="D189">
        <v>43</v>
      </c>
      <c r="E189" t="s">
        <v>16</v>
      </c>
      <c r="F189" t="s">
        <v>17</v>
      </c>
      <c r="G189">
        <v>78270</v>
      </c>
      <c r="H189">
        <v>1</v>
      </c>
      <c r="I189" t="s">
        <v>49</v>
      </c>
      <c r="J189" s="1">
        <v>45288</v>
      </c>
      <c r="K189">
        <v>2</v>
      </c>
      <c r="L189">
        <v>85</v>
      </c>
      <c r="M189">
        <v>3</v>
      </c>
      <c r="N189" t="s">
        <v>19</v>
      </c>
      <c r="O189">
        <f t="shared" si="6"/>
        <v>939240</v>
      </c>
      <c r="P189" t="str">
        <f t="shared" si="7"/>
        <v>Junior</v>
      </c>
      <c r="Q189" t="str">
        <f t="shared" si="8"/>
        <v>Needs Improvement</v>
      </c>
    </row>
    <row r="190" spans="1:17" x14ac:dyDescent="0.25">
      <c r="A190">
        <v>1189</v>
      </c>
      <c r="B190" t="s">
        <v>121</v>
      </c>
      <c r="C190" t="s">
        <v>15</v>
      </c>
      <c r="D190">
        <v>35</v>
      </c>
      <c r="E190" t="s">
        <v>31</v>
      </c>
      <c r="F190" t="s">
        <v>32</v>
      </c>
      <c r="G190">
        <v>87854</v>
      </c>
      <c r="H190">
        <v>15</v>
      </c>
      <c r="I190" t="s">
        <v>18</v>
      </c>
      <c r="J190" s="1">
        <v>44534</v>
      </c>
      <c r="K190">
        <v>4</v>
      </c>
      <c r="L190">
        <v>80</v>
      </c>
      <c r="M190">
        <v>29</v>
      </c>
      <c r="N190" t="s">
        <v>19</v>
      </c>
      <c r="O190">
        <f t="shared" si="6"/>
        <v>1054248</v>
      </c>
      <c r="P190" t="str">
        <f t="shared" si="7"/>
        <v>Senior</v>
      </c>
      <c r="Q190" t="str">
        <f t="shared" si="8"/>
        <v>Excellent</v>
      </c>
    </row>
    <row r="191" spans="1:17" x14ac:dyDescent="0.25">
      <c r="A191">
        <v>1190</v>
      </c>
      <c r="B191" t="s">
        <v>83</v>
      </c>
      <c r="C191" t="s">
        <v>25</v>
      </c>
      <c r="D191">
        <v>42</v>
      </c>
      <c r="E191" t="s">
        <v>31</v>
      </c>
      <c r="F191" t="s">
        <v>43</v>
      </c>
      <c r="G191">
        <v>67245</v>
      </c>
      <c r="H191">
        <v>14</v>
      </c>
      <c r="I191" t="s">
        <v>55</v>
      </c>
      <c r="J191" s="1">
        <v>43269</v>
      </c>
      <c r="K191">
        <v>3</v>
      </c>
      <c r="L191">
        <v>89</v>
      </c>
      <c r="M191">
        <v>27</v>
      </c>
      <c r="N191" t="s">
        <v>40</v>
      </c>
      <c r="O191">
        <f t="shared" si="6"/>
        <v>806940</v>
      </c>
      <c r="P191" t="str">
        <f t="shared" si="7"/>
        <v>Senior</v>
      </c>
      <c r="Q191" t="str">
        <f t="shared" si="8"/>
        <v>Needs Improvement</v>
      </c>
    </row>
    <row r="192" spans="1:17" x14ac:dyDescent="0.25">
      <c r="A192">
        <v>1191</v>
      </c>
      <c r="B192" t="s">
        <v>92</v>
      </c>
      <c r="C192" t="s">
        <v>25</v>
      </c>
      <c r="D192">
        <v>45</v>
      </c>
      <c r="E192" t="s">
        <v>27</v>
      </c>
      <c r="F192" t="s">
        <v>51</v>
      </c>
      <c r="G192">
        <v>55304</v>
      </c>
      <c r="H192">
        <v>13</v>
      </c>
      <c r="I192" t="s">
        <v>49</v>
      </c>
      <c r="J192" s="1">
        <v>43849</v>
      </c>
      <c r="K192">
        <v>3</v>
      </c>
      <c r="L192">
        <v>95</v>
      </c>
      <c r="M192">
        <v>15</v>
      </c>
      <c r="N192" t="s">
        <v>19</v>
      </c>
      <c r="O192">
        <f t="shared" si="6"/>
        <v>663648</v>
      </c>
      <c r="P192" t="str">
        <f t="shared" si="7"/>
        <v>Senior</v>
      </c>
      <c r="Q192" t="str">
        <f t="shared" si="8"/>
        <v>Needs Improvement</v>
      </c>
    </row>
    <row r="193" spans="1:17" x14ac:dyDescent="0.25">
      <c r="A193">
        <v>1192</v>
      </c>
      <c r="B193" t="s">
        <v>100</v>
      </c>
      <c r="C193" t="s">
        <v>25</v>
      </c>
      <c r="D193">
        <v>26</v>
      </c>
      <c r="E193" t="s">
        <v>21</v>
      </c>
      <c r="F193" t="s">
        <v>22</v>
      </c>
      <c r="G193">
        <v>40398</v>
      </c>
      <c r="H193">
        <v>4</v>
      </c>
      <c r="I193" t="s">
        <v>23</v>
      </c>
      <c r="J193" s="1">
        <v>45420</v>
      </c>
      <c r="K193">
        <v>1</v>
      </c>
      <c r="L193">
        <v>79</v>
      </c>
      <c r="M193">
        <v>11</v>
      </c>
      <c r="N193" t="s">
        <v>19</v>
      </c>
      <c r="O193">
        <f t="shared" si="6"/>
        <v>484776</v>
      </c>
      <c r="P193" t="str">
        <f t="shared" si="7"/>
        <v>Mid-Level</v>
      </c>
      <c r="Q193" t="str">
        <f t="shared" si="8"/>
        <v>Needs Improvement</v>
      </c>
    </row>
    <row r="194" spans="1:17" x14ac:dyDescent="0.25">
      <c r="A194">
        <v>1193</v>
      </c>
      <c r="B194" t="s">
        <v>58</v>
      </c>
      <c r="C194" t="s">
        <v>25</v>
      </c>
      <c r="D194">
        <v>38</v>
      </c>
      <c r="E194" t="s">
        <v>16</v>
      </c>
      <c r="F194" t="s">
        <v>34</v>
      </c>
      <c r="G194">
        <v>57266</v>
      </c>
      <c r="H194">
        <v>10</v>
      </c>
      <c r="I194" t="s">
        <v>49</v>
      </c>
      <c r="J194" s="1">
        <v>45874</v>
      </c>
      <c r="K194">
        <v>5</v>
      </c>
      <c r="L194">
        <v>80</v>
      </c>
      <c r="M194">
        <v>30</v>
      </c>
      <c r="N194" t="s">
        <v>40</v>
      </c>
      <c r="O194">
        <f t="shared" si="6"/>
        <v>687192</v>
      </c>
      <c r="P194" t="str">
        <f t="shared" si="7"/>
        <v>Senior</v>
      </c>
      <c r="Q194" t="str">
        <f t="shared" si="8"/>
        <v>Excellent</v>
      </c>
    </row>
    <row r="195" spans="1:17" x14ac:dyDescent="0.25">
      <c r="A195">
        <v>1194</v>
      </c>
      <c r="B195" t="s">
        <v>71</v>
      </c>
      <c r="C195" t="s">
        <v>25</v>
      </c>
      <c r="D195">
        <v>25</v>
      </c>
      <c r="E195" t="s">
        <v>31</v>
      </c>
      <c r="F195" t="s">
        <v>43</v>
      </c>
      <c r="G195">
        <v>45795</v>
      </c>
      <c r="H195">
        <v>9</v>
      </c>
      <c r="I195" t="s">
        <v>49</v>
      </c>
      <c r="J195" s="1">
        <v>45073</v>
      </c>
      <c r="K195">
        <v>4</v>
      </c>
      <c r="L195">
        <v>83</v>
      </c>
      <c r="M195">
        <v>7</v>
      </c>
      <c r="N195" t="s">
        <v>40</v>
      </c>
      <c r="O195">
        <f t="shared" ref="O195:O201" si="9">G195*12</f>
        <v>549540</v>
      </c>
      <c r="P195" t="str">
        <f t="shared" ref="P195:P201" si="10">IF(H195&lt;3,"Junior",IF(H195&lt;7,"Mid-Level","Senior"))</f>
        <v>Senior</v>
      </c>
      <c r="Q195" t="str">
        <f t="shared" ref="Q195:Q201" si="11">IF(K195&gt;=4,"Excellent","Needs Improvement")</f>
        <v>Excellent</v>
      </c>
    </row>
    <row r="196" spans="1:17" x14ac:dyDescent="0.25">
      <c r="A196">
        <v>1195</v>
      </c>
      <c r="B196" t="s">
        <v>130</v>
      </c>
      <c r="C196" t="s">
        <v>25</v>
      </c>
      <c r="D196">
        <v>43</v>
      </c>
      <c r="E196" t="s">
        <v>27</v>
      </c>
      <c r="F196" t="s">
        <v>28</v>
      </c>
      <c r="G196">
        <v>37785</v>
      </c>
      <c r="H196">
        <v>2</v>
      </c>
      <c r="I196" t="s">
        <v>18</v>
      </c>
      <c r="J196" s="1">
        <v>45748</v>
      </c>
      <c r="K196">
        <v>3</v>
      </c>
      <c r="L196">
        <v>92</v>
      </c>
      <c r="M196">
        <v>5</v>
      </c>
      <c r="N196" t="s">
        <v>19</v>
      </c>
      <c r="O196">
        <f t="shared" si="9"/>
        <v>453420</v>
      </c>
      <c r="P196" t="str">
        <f t="shared" si="10"/>
        <v>Junior</v>
      </c>
      <c r="Q196" t="str">
        <f t="shared" si="11"/>
        <v>Needs Improvement</v>
      </c>
    </row>
    <row r="197" spans="1:17" x14ac:dyDescent="0.25">
      <c r="A197">
        <v>1196</v>
      </c>
      <c r="B197" t="s">
        <v>91</v>
      </c>
      <c r="C197" t="s">
        <v>15</v>
      </c>
      <c r="D197">
        <v>32</v>
      </c>
      <c r="E197" t="s">
        <v>27</v>
      </c>
      <c r="F197" t="s">
        <v>28</v>
      </c>
      <c r="G197">
        <v>49121</v>
      </c>
      <c r="H197">
        <v>14</v>
      </c>
      <c r="I197" t="s">
        <v>23</v>
      </c>
      <c r="J197" s="1">
        <v>45764</v>
      </c>
      <c r="K197">
        <v>2</v>
      </c>
      <c r="L197">
        <v>79</v>
      </c>
      <c r="M197">
        <v>21</v>
      </c>
      <c r="N197" t="s">
        <v>40</v>
      </c>
      <c r="O197">
        <f t="shared" si="9"/>
        <v>589452</v>
      </c>
      <c r="P197" t="str">
        <f t="shared" si="10"/>
        <v>Senior</v>
      </c>
      <c r="Q197" t="str">
        <f t="shared" si="11"/>
        <v>Needs Improvement</v>
      </c>
    </row>
    <row r="198" spans="1:17" x14ac:dyDescent="0.25">
      <c r="A198">
        <v>1197</v>
      </c>
      <c r="B198" t="s">
        <v>93</v>
      </c>
      <c r="C198" t="s">
        <v>25</v>
      </c>
      <c r="D198">
        <v>38</v>
      </c>
      <c r="E198" t="s">
        <v>16</v>
      </c>
      <c r="F198" t="s">
        <v>59</v>
      </c>
      <c r="G198">
        <v>31713</v>
      </c>
      <c r="H198">
        <v>9</v>
      </c>
      <c r="I198" t="s">
        <v>18</v>
      </c>
      <c r="J198" s="1">
        <v>43812</v>
      </c>
      <c r="K198">
        <v>1</v>
      </c>
      <c r="L198">
        <v>86</v>
      </c>
      <c r="M198">
        <v>6</v>
      </c>
      <c r="N198" t="s">
        <v>40</v>
      </c>
      <c r="O198">
        <f t="shared" si="9"/>
        <v>380556</v>
      </c>
      <c r="P198" t="str">
        <f t="shared" si="10"/>
        <v>Senior</v>
      </c>
      <c r="Q198" t="str">
        <f t="shared" si="11"/>
        <v>Needs Improvement</v>
      </c>
    </row>
    <row r="199" spans="1:17" x14ac:dyDescent="0.25">
      <c r="A199">
        <v>1198</v>
      </c>
      <c r="B199" t="s">
        <v>84</v>
      </c>
      <c r="C199" t="s">
        <v>15</v>
      </c>
      <c r="D199">
        <v>32</v>
      </c>
      <c r="E199" t="s">
        <v>31</v>
      </c>
      <c r="F199" t="s">
        <v>32</v>
      </c>
      <c r="G199">
        <v>33128</v>
      </c>
      <c r="H199">
        <v>5</v>
      </c>
      <c r="I199" t="s">
        <v>29</v>
      </c>
      <c r="J199" s="1">
        <v>45026</v>
      </c>
      <c r="K199">
        <v>1</v>
      </c>
      <c r="L199">
        <v>79</v>
      </c>
      <c r="M199">
        <v>4</v>
      </c>
      <c r="N199" t="s">
        <v>19</v>
      </c>
      <c r="O199">
        <f t="shared" si="9"/>
        <v>397536</v>
      </c>
      <c r="P199" t="str">
        <f t="shared" si="10"/>
        <v>Mid-Level</v>
      </c>
      <c r="Q199" t="str">
        <f t="shared" si="11"/>
        <v>Needs Improvement</v>
      </c>
    </row>
    <row r="200" spans="1:17" x14ac:dyDescent="0.25">
      <c r="A200">
        <v>1199</v>
      </c>
      <c r="B200" t="s">
        <v>157</v>
      </c>
      <c r="C200" t="s">
        <v>25</v>
      </c>
      <c r="D200">
        <v>27</v>
      </c>
      <c r="E200" t="s">
        <v>16</v>
      </c>
      <c r="F200" t="s">
        <v>34</v>
      </c>
      <c r="G200">
        <v>68673</v>
      </c>
      <c r="H200">
        <v>9</v>
      </c>
      <c r="I200" t="s">
        <v>49</v>
      </c>
      <c r="J200" s="1">
        <v>44352</v>
      </c>
      <c r="K200">
        <v>2</v>
      </c>
      <c r="L200">
        <v>86</v>
      </c>
      <c r="M200">
        <v>4</v>
      </c>
      <c r="N200" t="s">
        <v>40</v>
      </c>
      <c r="O200">
        <f t="shared" si="9"/>
        <v>824076</v>
      </c>
      <c r="P200" t="str">
        <f t="shared" si="10"/>
        <v>Senior</v>
      </c>
      <c r="Q200" t="str">
        <f t="shared" si="11"/>
        <v>Needs Improvement</v>
      </c>
    </row>
    <row r="201" spans="1:17" x14ac:dyDescent="0.25">
      <c r="A201">
        <v>1200</v>
      </c>
      <c r="B201" t="s">
        <v>83</v>
      </c>
      <c r="C201" t="s">
        <v>15</v>
      </c>
      <c r="D201">
        <v>45</v>
      </c>
      <c r="E201" t="s">
        <v>27</v>
      </c>
      <c r="F201" t="s">
        <v>28</v>
      </c>
      <c r="G201">
        <v>75044</v>
      </c>
      <c r="H201">
        <v>1</v>
      </c>
      <c r="I201" t="s">
        <v>18</v>
      </c>
      <c r="J201" s="1">
        <v>43132</v>
      </c>
      <c r="K201">
        <v>1</v>
      </c>
      <c r="L201">
        <v>99</v>
      </c>
      <c r="M201">
        <v>21</v>
      </c>
      <c r="N201" t="s">
        <v>19</v>
      </c>
      <c r="O201">
        <f t="shared" si="9"/>
        <v>900528</v>
      </c>
      <c r="P201" t="str">
        <f t="shared" si="10"/>
        <v>Junior</v>
      </c>
      <c r="Q201" t="str">
        <f t="shared" si="11"/>
        <v>Needs Improvement</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tabSelected="1" workbookViewId="0">
      <selection activeCell="H6" sqref="H6"/>
    </sheetView>
  </sheetViews>
  <sheetFormatPr defaultRowHeight="15" x14ac:dyDescent="0.25"/>
  <cols>
    <col min="1" max="1" width="9.85546875" customWidth="1"/>
    <col min="2" max="2" width="17.140625" customWidth="1"/>
    <col min="3" max="3" width="16.140625" customWidth="1"/>
    <col min="4" max="4" width="16" customWidth="1"/>
    <col min="5" max="5" width="15.85546875" customWidth="1"/>
  </cols>
  <sheetData>
    <row r="1" spans="1:8" ht="36" x14ac:dyDescent="0.55000000000000004">
      <c r="A1" s="12" t="s">
        <v>170</v>
      </c>
      <c r="B1" s="13"/>
      <c r="C1" s="13"/>
      <c r="D1" s="13"/>
      <c r="E1" s="13"/>
    </row>
    <row r="2" spans="1:8" ht="15.75" thickBot="1" x14ac:dyDescent="0.3">
      <c r="B2" s="5"/>
      <c r="C2" s="8"/>
      <c r="D2" s="9"/>
      <c r="E2" s="9"/>
    </row>
    <row r="3" spans="1:8" x14ac:dyDescent="0.25">
      <c r="A3" s="11"/>
      <c r="B3" s="19" t="s">
        <v>169</v>
      </c>
      <c r="C3" s="14" t="s">
        <v>166</v>
      </c>
      <c r="D3" s="15" t="s">
        <v>167</v>
      </c>
      <c r="E3" s="17" t="s">
        <v>168</v>
      </c>
      <c r="F3" s="7"/>
      <c r="G3" s="11"/>
      <c r="H3" s="11"/>
    </row>
    <row r="4" spans="1:8" ht="15.75" thickBot="1" x14ac:dyDescent="0.3">
      <c r="A4" s="11"/>
      <c r="B4" s="20">
        <f>COUNTA(HR_Analytics!A2:A201)</f>
        <v>200</v>
      </c>
      <c r="C4" s="21">
        <v>59450</v>
      </c>
      <c r="D4" s="16">
        <f>COUNTIF(HR_Analytics!N2:N201,"Yes")</f>
        <v>47</v>
      </c>
      <c r="E4" s="18">
        <v>0.23499999999999999</v>
      </c>
      <c r="F4" s="7"/>
      <c r="G4" s="11"/>
      <c r="H4" s="11"/>
    </row>
    <row r="5" spans="1:8" x14ac:dyDescent="0.25">
      <c r="A5" s="11"/>
      <c r="B5" s="6"/>
      <c r="C5" s="6"/>
      <c r="D5" s="6"/>
      <c r="E5" s="6"/>
      <c r="F5" s="7"/>
      <c r="G5" s="11"/>
      <c r="H5" s="11"/>
    </row>
    <row r="7" spans="1:8" x14ac:dyDescent="0.25">
      <c r="C7" s="10"/>
    </row>
  </sheetData>
  <mergeCells count="1">
    <mergeCell ref="A1:E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HR_Analytics</vt:lpstr>
      <vt:lpstr>HR_Dashboard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Prime</cp:lastModifiedBy>
  <dcterms:created xsi:type="dcterms:W3CDTF">2026-06-22T05:59:39Z</dcterms:created>
  <dcterms:modified xsi:type="dcterms:W3CDTF">2026-06-24T10:49:17Z</dcterms:modified>
</cp:coreProperties>
</file>